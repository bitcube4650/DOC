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. 업무\01. 모의해킹\02. 사전 보안성 검토\03. 2025\팬택씨엔아이\OKPlaza(공급사)\"/>
    </mc:Choice>
  </mc:AlternateContent>
  <bookViews>
    <workbookView xWindow="-120" yWindow="-120" windowWidth="29040" windowHeight="1584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9" i="123" l="1"/>
  <c r="G9" i="123"/>
  <c r="E9" i="123"/>
  <c r="P7" i="123" l="1"/>
  <c r="G7" i="123"/>
  <c r="E7" i="123"/>
  <c r="P5" i="123" l="1"/>
  <c r="G5" i="123"/>
  <c r="E5" i="123"/>
  <c r="P10" i="123" l="1"/>
  <c r="G10" i="123"/>
  <c r="E10" i="123"/>
  <c r="P12" i="123"/>
  <c r="G12" i="123"/>
  <c r="E12" i="123"/>
  <c r="P8" i="123" l="1"/>
  <c r="G8" i="123"/>
  <c r="E8" i="123"/>
  <c r="P11" i="123"/>
  <c r="E11" i="123"/>
  <c r="P4" i="123"/>
  <c r="E4" i="123"/>
  <c r="P3" i="123"/>
  <c r="E3" i="123"/>
  <c r="P6" i="123"/>
  <c r="E6" i="123"/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<sst xmlns="http://schemas.openxmlformats.org/spreadsheetml/2006/main" count="624" uniqueCount="467">
  <si>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</si>
  <si>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</si>
  <si>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</si>
  <si>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</si>
  <si>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</si>
  <si>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</si>
  <si>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</si>
  <si>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</si>
  <si>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</si>
  <si>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</si>
  <si>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</si>
  <si>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</si>
  <si>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</si>
  <si>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</si>
  <si>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</si>
  <si>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</si>
  <si>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</si>
  <si>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</si>
  <si>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</si>
  <si>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</si>
  <si>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</si>
  <si>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</si>
  <si>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</si>
  <si>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</si>
  <si>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</si>
  <si>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</si>
  <si>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</si>
  <si>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</si>
  <si>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</si>
  <si>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</si>
  <si>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</si>
  <si>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</si>
  <si>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</si>
  <si>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</si>
  <si>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</si>
  <si>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</si>
  <si>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</si>
  <si>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</si>
  <si>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</si>
  <si>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</si>
  <si>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</si>
  <si>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</si>
  <si>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</si>
  <si>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</si>
  <si>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</si>
  <si>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</si>
  <si>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</si>
  <si>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</si>
  <si>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</si>
  <si>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</si>
  <si>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</si>
  <si>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</si>
  <si>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</si>
  <si>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</si>
  <si>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</si>
  <si>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</si>
  <si>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</si>
  <si>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</si>
  <si>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</si>
  <si>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</si>
  <si>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</si>
  <si>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</si>
  <si>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</si>
  <si>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</si>
  <si>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</si>
  <si>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</si>
  <si>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</si>
  <si>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</si>
  <si>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</si>
  <si>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</si>
  <si>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</si>
  <si>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</si>
  <si>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</si>
  <si>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</si>
  <si>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</si>
  <si>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</si>
  <si>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</si>
  <si>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</si>
  <si>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</si>
  <si>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</si>
  <si>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</si>
  <si>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</si>
  <si>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</si>
  <si>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</si>
  <si>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</si>
  <si>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</si>
  <si>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</si>
  <si>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</si>
  <si>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</si>
  <si>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</si>
  <si>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</si>
  <si>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</si>
  <si>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</si>
  <si>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</si>
  <si>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</si>
  <si>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</si>
  <si>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</si>
  <si>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</si>
  <si>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</si>
  <si>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</si>
  <si>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</si>
  <si>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</si>
  <si>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</si>
  <si>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</si>
  <si>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</si>
  <si>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</si>
  <si>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</si>
  <si>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</si>
  <si>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</si>
  <si>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</si>
  <si>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</si>
  <si>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</si>
  <si>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</si>
  <si>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</si>
  <si>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</si>
  <si>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</si>
  <si>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</si>
  <si>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</si>
  <si>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</si>
  <si>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</si>
  <si>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</si>
  <si>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</si>
  <si>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</si>
  <si>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</si>
  <si>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</si>
  <si>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</si>
  <si>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</si>
  <si>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</si>
  <si>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</si>
  <si>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</si>
  <si>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</si>
  <si>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</si>
  <si>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</si>
  <si>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</si>
  <si>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</si>
  <si>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</si>
  <si>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</si>
  <si>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</si>
  <si>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</si>
  <si>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</si>
  <si>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</si>
  <si>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</si>
  <si>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</si>
  <si>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</si>
  <si>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</si>
  <si>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</si>
  <si>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</si>
  <si>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</si>
  <si>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</si>
  <si>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</si>
  <si>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</si>
  <si>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</si>
  <si>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</si>
  <si>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</si>
  <si>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</si>
  <si>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</si>
  <si>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</si>
  <si>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</si>
  <si>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</si>
  <si>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</si>
  <si>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</si>
  <si>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</si>
  <si>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</si>
  <si>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</si>
  <si>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</si>
  <si>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</si>
  <si>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</si>
  <si>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</si>
  <si>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</si>
  <si>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</si>
  <si>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</si>
  <si>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</si>
  <si>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</si>
  <si>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</si>
  <si>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</si>
  <si>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</si>
  <si>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</si>
  <si>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</si>
  <si>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</si>
  <si>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</si>
  <si>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</si>
  <si>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</si>
  <si>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</si>
  <si>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</si>
  <si>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</si>
  <si>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</si>
  <si>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</si>
  <si>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</si>
  <si>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</si>
  <si>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</si>
  <si>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</si>
  <si>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</si>
  <si>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</si>
  <si>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</si>
  <si>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</si>
  <si>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</si>
  <si>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</si>
  <si>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</si>
  <si>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</si>
  <si>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</si>
  <si>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</si>
  <si>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</si>
  <si>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</si>
  <si>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</si>
  <si>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</si>
  <si>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</si>
  <si>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</si>
  <si>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</si>
  <si>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</si>
  <si>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</si>
  <si>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</si>
  <si>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</si>
  <si>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</si>
  <si>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</si>
  <si>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</si>
  <si>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</si>
  <si>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</si>
  <si>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</si>
  <si>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</si>
  <si>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</si>
  <si>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</si>
  <si>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</si>
  <si>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</si>
  <si>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</si>
  <si>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</si>
  <si>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</si>
  <si>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</si>
  <si>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</si>
  <si>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</si>
  <si>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</si>
  <si>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</si>
  <si>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</si>
  <si>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</si>
  <si>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</si>
  <si>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</si>
  <si>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</si>
  <si>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</si>
  <si>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</si>
  <si>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</si>
  <si>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</si>
  <si>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</si>
  <si>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</si>
  <si>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</si>
  <si>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</si>
  <si>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</si>
  <si>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</si>
  <si>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</si>
  <si>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</si>
  <si>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</si>
  <si>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</si>
  <si>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</si>
  <si>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</si>
  <si>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</si>
  <si>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</si>
  <si>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</si>
  <si>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</si>
  <si>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</si>
  <si>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</si>
  <si>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</si>
  <si>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</si>
  <si>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</si>
  <si>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</si>
  <si>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</si>
  <si>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</si>
  <si>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</si>
  <si>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</si>
  <si>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</si>
  <si>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</si>
  <si>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</si>
  <si>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</si>
  <si>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</si>
  <si>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</si>
  <si>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</si>
  <si>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</si>
  <si>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</si>
  <si>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</si>
  <si>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</si>
  <si>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</si>
  <si>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</si>
  <si>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</si>
  <si>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</si>
  <si>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</si>
  <si>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</si>
  <si>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</si>
  <si>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</si>
  <si>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</si>
  <si>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</si>
  <si>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</si>
  <si>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</si>
  <si>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</si>
  <si>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</si>
  <si>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</si>
  <si>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</si>
  <si>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</si>
  <si>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</si>
  <si>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</si>
  <si>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</si>
  <si>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</si>
  <si>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</si>
  <si>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</si>
  <si>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</si>
  <si>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</si>
  <si>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</si>
  <si>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</si>
  <si>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</si>
  <si>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</si>
  <si>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</si>
  <si>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</si>
  <si>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</si>
  <si>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</si>
  <si>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</si>
  <si>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</si>
  <si>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</si>
  <si>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</si>
  <si>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</si>
  <si>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</si>
  <si>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</si>
  <si>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</si>
  <si>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</si>
  <si>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</si>
  <si>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</si>
  <si>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</si>
  <si>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</si>
  <si>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</si>
  <si>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</si>
  <si>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</si>
  <si>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</si>
  <si>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</si>
  <si>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</si>
  <si>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</si>
  <si>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</si>
  <si>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</si>
  <si>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</si>
  <si>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</si>
  <si>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</si>
  <si>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</si>
  <si>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</si>
  <si>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</si>
  <si>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</si>
  <si>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</si>
  <si>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</si>
  <si>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</si>
  <si>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</si>
  <si>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</si>
  <si>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</si>
  <si>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</si>
  <si>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</si>
  <si>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</si>
  <si>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</si>
  <si>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</si>
  <si>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</si>
  <si>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</si>
  <si>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</si>
  <si>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</si>
  <si>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</si>
  <si>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</si>
  <si>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</si>
  <si>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</si>
  <si>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</si>
  <si>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</si>
  <si>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</si>
  <si>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</si>
  <si>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</si>
  <si>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</si>
  <si>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</si>
  <si>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</si>
  <si>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</si>
  <si>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</si>
  <si>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</si>
  <si>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</si>
  <si>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</si>
  <si>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</si>
  <si>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</si>
  <si>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</si>
  <si>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</si>
  <si>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</si>
  <si>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</si>
  <si>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</si>
  <si>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</si>
  <si>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</si>
  <si>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</si>
  <si>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</si>
  <si>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</si>
  <si>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</si>
  <si>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</si>
  <si>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</si>
  <si>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</si>
  <si>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</si>
  <si>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</si>
  <si>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</si>
  <si>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</si>
  <si>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</si>
  <si>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</si>
  <si>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</si>
  <si>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</si>
  <si>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</si>
  <si>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</si>
  <si>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</si>
  <si>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</si>
  <si>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</si>
  <si>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</si>
  <si>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</si>
  <si>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</si>
  <si>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</si>
  <si>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</si>
  <si>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</si>
  <si>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</si>
  <si>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</si>
  <si>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</si>
  <si>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</si>
  <si>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</si>
  <si>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</si>
  <si>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dev.okplaza.kr</t>
  </si>
  <si>
    <t>W-129</t>
    <phoneticPr fontId="54" type="noConversion"/>
  </si>
  <si>
    <t>01a29a</t>
  </si>
  <si>
    <t>W-009</t>
    <phoneticPr fontId="54" type="noConversion"/>
  </si>
  <si>
    <t>01a09a</t>
  </si>
  <si>
    <t>CASE1</t>
    <phoneticPr fontId="54" type="noConversion"/>
  </si>
  <si>
    <t>CASE2</t>
    <phoneticPr fontId="54" type="noConversion"/>
  </si>
  <si>
    <t>CASE3</t>
    <phoneticPr fontId="54" type="noConversion"/>
  </si>
  <si>
    <t>응답 헤더 내 서버 버전정보 노출</t>
  </si>
  <si>
    <t>박준태</t>
    <phoneticPr fontId="54" type="noConversion"/>
  </si>
  <si>
    <t>W-011</t>
    <phoneticPr fontId="54" type="noConversion"/>
  </si>
  <si>
    <t>01a11a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</si>
  <si>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</si>
  <si>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W-013</t>
    <phoneticPr fontId="54" type="noConversion"/>
  </si>
  <si>
    <t>01a13a</t>
  </si>
  <si>
    <t>로그인</t>
    <phoneticPr fontId="54" type="noConversion"/>
  </si>
  <si>
    <t>W-019</t>
    <phoneticPr fontId="54" type="noConversion"/>
  </si>
  <si>
    <t>01a19a</t>
  </si>
  <si>
    <t>로그인/로그아웃 시 세션이 갱신되지 않는 것을 확인함</t>
  </si>
  <si>
    <t>W-233</t>
    <phoneticPr fontId="54" type="noConversion"/>
  </si>
  <si>
    <t>01a33a</t>
  </si>
  <si>
    <t>동일 IP주소에서 단시간 내 반복적인 로그인 시도 시 별도의 검증, 차단 로직이 존재하지 않아 크리덴셜 스터핑 공격이 가능할 것으로 판단됨</t>
  </si>
  <si>
    <t>https://dev.okplaza.kr/vendor/organ/saveVendorUpdate</t>
  </si>
  <si>
    <t>-</t>
  </si>
  <si>
    <t>https://dev.okplaza.kr/</t>
  </si>
  <si>
    <t>X</t>
  </si>
  <si>
    <t>메인 페이지 접근 시 응답 헤더 패킷 내 서버 버전정보(Apache/2.4.63)가 노출됨</t>
  </si>
  <si>
    <t>에러 페이지 내 서버 버전정보 노출</t>
  </si>
  <si>
    <t>https://dev.okplaza.kr/%5C</t>
  </si>
  <si>
    <t>요청 URL 내 특수문자(%5C) 삽입 시 400 에러가 발생하며 400 에러 내 서버 버전정보(Apache Tomcat/9.0.100)가 노출됨</t>
  </si>
  <si>
    <t>홈&gt;공급사정보-저장</t>
  </si>
  <si>
    <t>vendornm, pressentnm, addresdesc, vendorbusiclas, vendorbusitype, homepage, referecedesc, closereason, workmanagenm, accountmanagenm</t>
  </si>
  <si>
    <t>"/&gt;&lt;img src=x onerror=alert(document.cookie);&gt;</t>
  </si>
  <si>
    <t>서버 보안</t>
  </si>
  <si>
    <t>홈&gt;사용자 상세</t>
    <phoneticPr fontId="54" type="noConversion"/>
  </si>
  <si>
    <t>https://dev.okplaza.kr/organ/userPasswordCheck</t>
  </si>
  <si>
    <t>code</t>
  </si>
  <si>
    <t>응답 패킷 내 응답 값 변조</t>
    <phoneticPr fontId="54" type="noConversion"/>
  </si>
  <si>
    <t>사용자 상세 페이지 접근 시 비밀번호 검증이 존재하나 검증이 미흡하여 응답 패킷 내 응답 값 변조 시 비밀번호 없이 접근이 가능함</t>
    <phoneticPr fontId="54" type="noConversion"/>
  </si>
  <si>
    <t>https://dev.okplaza.kr/loginCheck</t>
  </si>
  <si>
    <t>https://dev.okplaza.kr/</t>
    <phoneticPr fontId="54" type="noConversion"/>
  </si>
  <si>
    <t>Stored</t>
    <phoneticPr fontId="54" type="noConversion"/>
  </si>
  <si>
    <t>내부망 IP 노출</t>
    <phoneticPr fontId="54" type="noConversion"/>
  </si>
  <si>
    <t>홈</t>
    <phoneticPr fontId="54" type="noConversion"/>
  </si>
  <si>
    <t>https://dev.okplaza.kr/vendor</t>
    <phoneticPr fontId="54" type="noConversion"/>
  </si>
  <si>
    <t>로그인 후 메인 페이지 접근 시 응답 패킷 내 내부망 IP가 노출됨</t>
    <phoneticPr fontId="54" type="noConversion"/>
  </si>
  <si>
    <t>홈&gt;고객센터&gt;질의응답-등록</t>
    <phoneticPr fontId="54" type="noConversion"/>
  </si>
  <si>
    <t>&lt;svg/onload=alert(1);&gt;</t>
  </si>
  <si>
    <t>https://dev.okplaza.kr/vendor/venBoard/saveQna</t>
  </si>
  <si>
    <t>title</t>
  </si>
  <si>
    <t>W-018</t>
    <phoneticPr fontId="54" type="noConversion"/>
  </si>
  <si>
    <t>01a18a</t>
  </si>
  <si>
    <t>세션 만료 시간이 설정되어 있지 않아 동작없이 장시간(1시간이상) 대기 시 세션이 만료되지 않는 것을 확인함</t>
  </si>
  <si>
    <t>서비스(1차)</t>
  </si>
  <si>
    <t>OKPlaza(공급사)</t>
    <phoneticPr fontId="5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</si>
</sst>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47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0" fontId="0" fillId="0" borderId="0" xfId="0" applyAlignment="1">
      <alignment vertical="center" wrapTex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15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7"/>
      <tableStyleElement type="headerRow" dxfId="156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E3" sqref="E3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1</v>
      </c>
      <c r="C3" s="35" t="s">
        <v>410</v>
      </c>
      <c r="D3" s="35" t="s">
        <v>465</v>
      </c>
      <c r="E3" s="35" t="s">
        <v>466</v>
      </c>
      <c r="F3" s="35" t="s">
        <v>165</v>
      </c>
      <c r="G3" s="35" t="s">
        <v>354</v>
      </c>
      <c r="H3" s="42" t="s">
        <v>412</v>
      </c>
      <c r="I3" s="13" t="s">
        <v>365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6"/>
  <sheetViews>
    <sheetView tabSelected="1" topLeftCell="G1" workbookViewId="0">
      <selection activeCell="H3" sqref="H3:O4"/>
    </sheetView>
  </sheetViews>
  <sheetFormatPr defaultRowHeight="13.5" customHeight="1"/>
  <cols>
    <col min="1" max="1" width="8.77734375" style="40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1:23"/>
    <row r="2" spans="1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360</v>
      </c>
    </row>
    <row r="3" spans="1:23" ht="13.5" customHeight="1">
      <c r="A3" s="40" t="s">
        <v>416</v>
      </c>
      <c r="B3" s="32">
        <v>45825</v>
      </c>
      <c r="C3" s="38" t="s">
        <v>409</v>
      </c>
      <c r="D3" s="35" t="s">
        <v>466</v>
      </c>
      <c r="E3" s="37" t="str">
        <f t="shared" ref="E3:E12" si="0">IF(LEFT(F3,2)="W-","WEB",IF(LEFT(F3,2)="M-","APP(Android+iOS)",""))</f>
        <v>WEB</v>
      </c>
      <c r="F3" s="24" t="s">
        <v>415</v>
      </c>
      <c r="G3" s="3" t="s">
        <v>53</v>
      </c>
      <c r="H3" s="15" t="s">
        <v>417</v>
      </c>
      <c r="I3" s="8" t="s">
        <v>420</v>
      </c>
      <c r="J3" s="8" t="s">
        <v>435</v>
      </c>
      <c r="K3" s="8" t="s">
        <v>436</v>
      </c>
      <c r="L3" s="14" t="s">
        <v>435</v>
      </c>
      <c r="M3" s="14" t="s">
        <v>435</v>
      </c>
      <c r="N3" s="11" t="s">
        <v>437</v>
      </c>
      <c r="O3" s="36" t="s">
        <v>438</v>
      </c>
      <c r="P3" s="11" t="str">
        <f>IFERROR(VLOOKUP(F3,'03. 범용 체크리스트(수정X)'!$B$2:$E$50,4,FALSE),"")</f>
        <v>하</v>
      </c>
      <c r="Q3" s="11"/>
      <c r="R3" s="32"/>
      <c r="S3" s="32"/>
      <c r="T3" s="41"/>
      <c r="U3" s="15" t="s">
        <v>421</v>
      </c>
      <c r="V3" s="15"/>
      <c r="W3" s="24"/>
    </row>
    <row r="4" spans="1:23" ht="13.5" customHeight="1">
      <c r="A4" s="40" t="s">
        <v>416</v>
      </c>
      <c r="B4" s="32">
        <v>45825</v>
      </c>
      <c r="C4" s="38" t="s">
        <v>409</v>
      </c>
      <c r="D4" s="35" t="s">
        <v>466</v>
      </c>
      <c r="E4" s="37" t="str">
        <f t="shared" si="0"/>
        <v>WEB</v>
      </c>
      <c r="F4" s="24" t="s">
        <v>415</v>
      </c>
      <c r="G4" s="3" t="s">
        <v>53</v>
      </c>
      <c r="H4" s="15" t="s">
        <v>418</v>
      </c>
      <c r="I4" s="8" t="s">
        <v>439</v>
      </c>
      <c r="J4" s="8" t="s">
        <v>435</v>
      </c>
      <c r="K4" s="8" t="s">
        <v>440</v>
      </c>
      <c r="L4" s="14" t="s">
        <v>435</v>
      </c>
      <c r="M4" s="14" t="s">
        <v>435</v>
      </c>
      <c r="N4" s="11" t="s">
        <v>437</v>
      </c>
      <c r="O4" s="36" t="s">
        <v>441</v>
      </c>
      <c r="P4" s="11" t="str">
        <f>IFERROR(VLOOKUP(F4,'03. 범용 체크리스트(수정X)'!$B$2:$E$50,4,FALSE),"")</f>
        <v>하</v>
      </c>
      <c r="Q4" s="11"/>
      <c r="R4" s="32"/>
      <c r="S4" s="32"/>
      <c r="T4" s="41"/>
      <c r="U4" s="15" t="s">
        <v>421</v>
      </c>
      <c r="V4" s="15"/>
      <c r="W4" s="24"/>
    </row>
    <row r="5" spans="1:23" ht="13.5" customHeight="1">
      <c r="A5" s="40" t="s">
        <v>416</v>
      </c>
      <c r="B5" s="32">
        <v>45826</v>
      </c>
      <c r="C5" s="38" t="s">
        <v>409</v>
      </c>
      <c r="D5" s="35" t="s">
        <v>466</v>
      </c>
      <c r="E5" s="37" t="str">
        <f t="shared" si="0"/>
        <v>WEB</v>
      </c>
      <c r="F5" s="24" t="s">
        <v>415</v>
      </c>
      <c r="G5" s="3" t="str">
        <f>IFERROR(VLOOKUP(F5,'03. 범용 체크리스트(수정X)'!$B$2:$E$50,2,FALSE),"")</f>
        <v>정보 누출</v>
      </c>
      <c r="H5" s="15" t="s">
        <v>419</v>
      </c>
      <c r="I5" s="8" t="s">
        <v>454</v>
      </c>
      <c r="J5" s="8" t="s">
        <v>455</v>
      </c>
      <c r="K5" s="8" t="s">
        <v>456</v>
      </c>
      <c r="L5" s="14" t="s">
        <v>4</v>
      </c>
      <c r="M5" s="14" t="s">
        <v>4</v>
      </c>
      <c r="N5" s="11" t="s">
        <v>367</v>
      </c>
      <c r="O5" s="36" t="s">
        <v>457</v>
      </c>
      <c r="P5" s="11" t="str">
        <f>IFERROR(VLOOKUP(F5,'03. 범용 체크리스트(수정X)'!$B$2:$E$50,4,FALSE),"")</f>
        <v>하</v>
      </c>
      <c r="Q5" s="11"/>
      <c r="R5" s="32"/>
      <c r="S5" s="32"/>
      <c r="T5" s="41"/>
      <c r="U5" s="15" t="s">
        <v>421</v>
      </c>
      <c r="V5" s="15"/>
      <c r="W5" s="24"/>
    </row>
    <row r="6" spans="1:23" ht="13.5" customHeight="1">
      <c r="A6" s="40" t="s">
        <v>423</v>
      </c>
      <c r="B6" s="32">
        <v>45825</v>
      </c>
      <c r="C6" s="38" t="s">
        <v>409</v>
      </c>
      <c r="D6" s="35" t="s">
        <v>466</v>
      </c>
      <c r="E6" s="37" t="str">
        <f t="shared" si="0"/>
        <v>WEB</v>
      </c>
      <c r="F6" s="24" t="s">
        <v>422</v>
      </c>
      <c r="G6" s="3" t="s">
        <v>21</v>
      </c>
      <c r="H6" s="15" t="s">
        <v>435</v>
      </c>
      <c r="I6" s="8" t="s">
        <v>453</v>
      </c>
      <c r="J6" s="8" t="s">
        <v>442</v>
      </c>
      <c r="K6" s="8" t="s">
        <v>434</v>
      </c>
      <c r="L6" s="14" t="s">
        <v>443</v>
      </c>
      <c r="M6" s="14" t="s">
        <v>444</v>
      </c>
      <c r="N6" s="11" t="s">
        <v>437</v>
      </c>
      <c r="O6" s="36" t="s">
        <v>424</v>
      </c>
      <c r="P6" s="11" t="str">
        <f>IFERROR(VLOOKUP(F6,'03. 범용 체크리스트(수정X)'!$B$2:$E$50,4,FALSE),"")</f>
        <v>중</v>
      </c>
      <c r="Q6" s="11"/>
      <c r="R6" s="32"/>
      <c r="S6" s="32"/>
      <c r="T6" s="41"/>
      <c r="U6" s="15" t="s">
        <v>421</v>
      </c>
      <c r="V6" s="15"/>
      <c r="W6" s="24"/>
    </row>
    <row r="7" spans="1:23" ht="13.5" customHeight="1">
      <c r="A7" s="40" t="s">
        <v>423</v>
      </c>
      <c r="B7" s="32">
        <v>45826</v>
      </c>
      <c r="C7" s="38" t="s">
        <v>409</v>
      </c>
      <c r="D7" s="35" t="s">
        <v>466</v>
      </c>
      <c r="E7" s="37" t="str">
        <f t="shared" si="0"/>
        <v>WEB</v>
      </c>
      <c r="F7" s="24" t="s">
        <v>422</v>
      </c>
      <c r="G7" s="3" t="str">
        <f>IFERROR(VLOOKUP(F7,'03. 범용 체크리스트(수정X)'!$B$2:$E$50,2,FALSE),"")</f>
        <v>크로스사이트 스크립팅(XSS)</v>
      </c>
      <c r="H7" s="15" t="s">
        <v>4</v>
      </c>
      <c r="I7" s="8" t="s">
        <v>453</v>
      </c>
      <c r="J7" s="8" t="s">
        <v>458</v>
      </c>
      <c r="K7" s="8" t="s">
        <v>460</v>
      </c>
      <c r="L7" s="14" t="s">
        <v>461</v>
      </c>
      <c r="M7" s="14" t="s">
        <v>459</v>
      </c>
      <c r="N7" s="11" t="s">
        <v>367</v>
      </c>
      <c r="O7" s="36" t="s">
        <v>424</v>
      </c>
      <c r="P7" s="11" t="str">
        <f>IFERROR(VLOOKUP(F7,'03. 범용 체크리스트(수정X)'!$B$2:$E$50,4,FALSE),"")</f>
        <v>중</v>
      </c>
      <c r="Q7" s="11"/>
      <c r="R7" s="32"/>
      <c r="S7" s="32"/>
      <c r="T7" s="41"/>
      <c r="U7" s="15" t="s">
        <v>421</v>
      </c>
      <c r="V7" s="15"/>
      <c r="W7" s="24"/>
    </row>
    <row r="8" spans="1:23" ht="13.5" customHeight="1">
      <c r="A8" s="40" t="s">
        <v>426</v>
      </c>
      <c r="B8" s="32">
        <v>45825</v>
      </c>
      <c r="C8" s="38" t="s">
        <v>409</v>
      </c>
      <c r="D8" s="35" t="s">
        <v>466</v>
      </c>
      <c r="E8" s="37" t="str">
        <f t="shared" si="0"/>
        <v>WEB</v>
      </c>
      <c r="F8" s="24" t="s">
        <v>425</v>
      </c>
      <c r="G8" s="3" t="str">
        <f>IFERROR(VLOOKUP(F8,'03. 범용 체크리스트(수정X)'!$B$2:$E$50,2,FALSE),"")</f>
        <v>불충분한 인증</v>
      </c>
      <c r="H8" s="15" t="s">
        <v>4</v>
      </c>
      <c r="I8" s="8" t="s">
        <v>4</v>
      </c>
      <c r="J8" s="8" t="s">
        <v>446</v>
      </c>
      <c r="K8" s="8" t="s">
        <v>447</v>
      </c>
      <c r="L8" s="14" t="s">
        <v>448</v>
      </c>
      <c r="M8" s="14" t="s">
        <v>449</v>
      </c>
      <c r="N8" s="11" t="s">
        <v>367</v>
      </c>
      <c r="O8" s="36" t="s">
        <v>450</v>
      </c>
      <c r="P8" s="11" t="str">
        <f>IFERROR(VLOOKUP(F8,'03. 범용 체크리스트(수정X)'!$B$2:$E$50,4,FALSE),"")</f>
        <v>중</v>
      </c>
      <c r="Q8" s="11"/>
      <c r="R8" s="32"/>
      <c r="S8" s="32"/>
      <c r="T8" s="41"/>
      <c r="U8" s="15" t="s">
        <v>421</v>
      </c>
      <c r="V8" s="15"/>
      <c r="W8" s="24"/>
    </row>
    <row r="9" spans="1:23" ht="13.5" customHeight="1">
      <c r="A9" s="40" t="s">
        <v>463</v>
      </c>
      <c r="B9" s="32">
        <v>45827</v>
      </c>
      <c r="C9" s="38" t="s">
        <v>409</v>
      </c>
      <c r="D9" s="35" t="s">
        <v>466</v>
      </c>
      <c r="E9" s="37" t="str">
        <f t="shared" si="0"/>
        <v>WEB</v>
      </c>
      <c r="F9" s="24" t="s">
        <v>462</v>
      </c>
      <c r="G9" s="3" t="str">
        <f>IFERROR(VLOOKUP(F9,'03. 범용 체크리스트(수정X)'!$B$2:$E$50,2,FALSE),"")</f>
        <v>불충분한 세션만료</v>
      </c>
      <c r="H9" s="15" t="s">
        <v>4</v>
      </c>
      <c r="I9" s="8" t="s">
        <v>4</v>
      </c>
      <c r="J9" s="8" t="s">
        <v>427</v>
      </c>
      <c r="K9" s="8" t="s">
        <v>451</v>
      </c>
      <c r="L9" s="14" t="s">
        <v>4</v>
      </c>
      <c r="M9" s="14" t="s">
        <v>4</v>
      </c>
      <c r="N9" s="11" t="s">
        <v>367</v>
      </c>
      <c r="O9" s="36" t="s">
        <v>464</v>
      </c>
      <c r="P9" s="11" t="str">
        <f>IFERROR(VLOOKUP(F9,'03. 범용 체크리스트(수정X)'!$B$2:$E$50,4,FALSE),"")</f>
        <v>하</v>
      </c>
      <c r="Q9" s="11"/>
      <c r="R9" s="32"/>
      <c r="S9" s="32"/>
      <c r="T9" s="41"/>
      <c r="U9" s="15" t="s">
        <v>421</v>
      </c>
      <c r="V9" s="15"/>
      <c r="W9" s="24"/>
    </row>
    <row r="10" spans="1:23" ht="13.5" customHeight="1">
      <c r="A10" s="40" t="s">
        <v>429</v>
      </c>
      <c r="B10" s="32">
        <v>45825</v>
      </c>
      <c r="C10" s="38" t="s">
        <v>409</v>
      </c>
      <c r="D10" s="35" t="s">
        <v>466</v>
      </c>
      <c r="E10" s="37" t="str">
        <f t="shared" si="0"/>
        <v>WEB</v>
      </c>
      <c r="F10" s="24" t="s">
        <v>428</v>
      </c>
      <c r="G10" s="3" t="str">
        <f>IFERROR(VLOOKUP(F10,'03. 범용 체크리스트(수정X)'!$B$2:$E$50,2,FALSE),"")</f>
        <v>세션고정</v>
      </c>
      <c r="H10" s="15" t="s">
        <v>4</v>
      </c>
      <c r="I10" s="8" t="s">
        <v>4</v>
      </c>
      <c r="J10" s="8" t="s">
        <v>427</v>
      </c>
      <c r="K10" s="8" t="s">
        <v>451</v>
      </c>
      <c r="L10" s="14" t="s">
        <v>4</v>
      </c>
      <c r="M10" s="14" t="s">
        <v>4</v>
      </c>
      <c r="N10" s="11" t="s">
        <v>367</v>
      </c>
      <c r="O10" s="36" t="s">
        <v>430</v>
      </c>
      <c r="P10" s="11" t="str">
        <f>IFERROR(VLOOKUP(F10,'03. 범용 체크리스트(수정X)'!$B$2:$E$50,4,FALSE),"")</f>
        <v>하</v>
      </c>
      <c r="Q10" s="11"/>
      <c r="R10" s="32"/>
      <c r="S10" s="32"/>
      <c r="T10" s="41"/>
      <c r="U10" s="15" t="s">
        <v>421</v>
      </c>
      <c r="V10" s="15"/>
      <c r="W10" s="24"/>
    </row>
    <row r="11" spans="1:23" ht="13.5" customHeight="1">
      <c r="A11" s="40" t="s">
        <v>414</v>
      </c>
      <c r="B11" s="32">
        <v>45825</v>
      </c>
      <c r="C11" s="38" t="s">
        <v>409</v>
      </c>
      <c r="D11" s="35" t="s">
        <v>466</v>
      </c>
      <c r="E11" s="37" t="str">
        <f t="shared" si="0"/>
        <v>WEB</v>
      </c>
      <c r="F11" s="24" t="s">
        <v>413</v>
      </c>
      <c r="G11" s="3" t="s">
        <v>11</v>
      </c>
      <c r="H11" s="15" t="s">
        <v>435</v>
      </c>
      <c r="I11" s="8" t="s">
        <v>435</v>
      </c>
      <c r="J11" s="8" t="s">
        <v>445</v>
      </c>
      <c r="K11" s="8" t="s">
        <v>452</v>
      </c>
      <c r="L11" s="14" t="s">
        <v>435</v>
      </c>
      <c r="M11" s="14" t="s">
        <v>435</v>
      </c>
      <c r="N11" s="11" t="s">
        <v>437</v>
      </c>
      <c r="O11" s="36" t="s">
        <v>391</v>
      </c>
      <c r="P11" s="11" t="str">
        <f>IFERROR(VLOOKUP(F11,'03. 범용 체크리스트(수정X)'!$B$2:$E$50,4,FALSE),"")</f>
        <v>하</v>
      </c>
      <c r="Q11" s="11"/>
      <c r="R11" s="32"/>
      <c r="S11" s="32"/>
      <c r="T11" s="41"/>
      <c r="U11" s="15" t="s">
        <v>421</v>
      </c>
      <c r="V11" s="15"/>
      <c r="W11" s="24"/>
    </row>
    <row r="12" spans="1:23" ht="13.5" customHeight="1">
      <c r="A12" s="40" t="s">
        <v>432</v>
      </c>
      <c r="B12" s="32">
        <v>45825</v>
      </c>
      <c r="C12" s="38" t="s">
        <v>409</v>
      </c>
      <c r="D12" s="35" t="s">
        <v>466</v>
      </c>
      <c r="E12" s="37" t="str">
        <f t="shared" si="0"/>
        <v>WEB</v>
      </c>
      <c r="F12" s="24" t="s">
        <v>431</v>
      </c>
      <c r="G12" s="3" t="str">
        <f>IFERROR(VLOOKUP(F12,'03. 범용 체크리스트(수정X)'!$B$2:$E$50,2,FALSE),"")</f>
        <v>크리덴셜 스터핑</v>
      </c>
      <c r="H12" s="15" t="s">
        <v>4</v>
      </c>
      <c r="I12" s="8" t="s">
        <v>4</v>
      </c>
      <c r="J12" s="8" t="s">
        <v>427</v>
      </c>
      <c r="K12" s="8" t="s">
        <v>451</v>
      </c>
      <c r="L12" s="14" t="s">
        <v>4</v>
      </c>
      <c r="M12" s="14" t="s">
        <v>4</v>
      </c>
      <c r="N12" s="11" t="s">
        <v>367</v>
      </c>
      <c r="O12" s="36" t="s">
        <v>433</v>
      </c>
      <c r="P12" s="11" t="str">
        <f>IFERROR(VLOOKUP(F12,'03. 범용 체크리스트(수정X)'!$B$2:$E$50,4,FALSE),"")</f>
        <v>하</v>
      </c>
      <c r="Q12" s="11"/>
      <c r="R12" s="32"/>
      <c r="S12" s="32"/>
      <c r="T12" s="41"/>
      <c r="U12" s="15" t="s">
        <v>421</v>
      </c>
      <c r="V12" s="15"/>
      <c r="W12" s="24"/>
    </row>
    <row r="19" spans="3:11" ht="13.5" customHeight="1">
      <c r="C19" s="46"/>
      <c r="D19" s="46"/>
      <c r="E19" s="46"/>
      <c r="F19" s="46"/>
      <c r="G19" s="46"/>
      <c r="H19" s="46"/>
      <c r="I19" s="46"/>
      <c r="J19" s="46"/>
      <c r="K19" s="46"/>
    </row>
    <row r="20" spans="3:11" ht="13.5" customHeight="1">
      <c r="C20" s="46"/>
      <c r="D20" s="46"/>
      <c r="E20" s="46"/>
      <c r="F20" s="46"/>
      <c r="G20" s="46"/>
      <c r="H20" s="46"/>
      <c r="I20" s="46"/>
      <c r="J20" s="46"/>
      <c r="K20" s="46"/>
    </row>
    <row r="21" spans="3:11" ht="13.5" customHeight="1">
      <c r="C21" s="46"/>
      <c r="D21" s="46"/>
      <c r="E21" s="46"/>
      <c r="F21" s="46"/>
      <c r="G21" s="46"/>
      <c r="H21" s="46"/>
      <c r="I21" s="46"/>
      <c r="J21" s="46"/>
      <c r="K21" s="46"/>
    </row>
    <row r="22" spans="3:11" ht="13.5" customHeight="1">
      <c r="C22" s="46"/>
      <c r="D22" s="46"/>
      <c r="E22" s="46"/>
      <c r="F22" s="46"/>
      <c r="G22" s="46"/>
      <c r="H22" s="46"/>
      <c r="I22" s="46"/>
      <c r="J22" s="46"/>
      <c r="K22" s="46"/>
    </row>
    <row r="23" spans="3:11" ht="13.5" customHeight="1">
      <c r="C23" s="46"/>
      <c r="D23" s="46"/>
      <c r="E23" s="46"/>
      <c r="F23" s="46"/>
      <c r="G23" s="46"/>
      <c r="H23" s="46"/>
      <c r="I23" s="46"/>
      <c r="J23" s="46"/>
      <c r="K23" s="46"/>
    </row>
    <row r="24" spans="3:11" ht="13.5" customHeight="1">
      <c r="C24" s="46"/>
      <c r="D24" s="46"/>
      <c r="E24" s="46"/>
      <c r="F24" s="46"/>
      <c r="G24" s="46"/>
      <c r="H24" s="46"/>
      <c r="I24" s="46"/>
      <c r="J24" s="46"/>
      <c r="K24" s="46"/>
    </row>
    <row r="25" spans="3:11" ht="13.5" customHeight="1">
      <c r="C25" s="46"/>
      <c r="D25" s="46"/>
      <c r="E25" s="46"/>
      <c r="F25" s="46"/>
      <c r="G25" s="46"/>
      <c r="H25" s="46"/>
      <c r="I25" s="46"/>
      <c r="J25" s="46"/>
      <c r="K25" s="46"/>
    </row>
    <row r="26" spans="3:11" ht="13.5" customHeight="1">
      <c r="C26" s="46"/>
      <c r="D26" s="46"/>
      <c r="E26" s="46"/>
      <c r="F26" s="46"/>
      <c r="G26" s="46"/>
      <c r="H26" s="46"/>
      <c r="I26" s="46"/>
      <c r="J26" s="46"/>
      <c r="K26" s="46"/>
    </row>
  </sheetData>
  <autoFilter ref="A2:V2" xr:uid="{00000000-0009-0000-0000-000001000000}"/>
  <sortState xmlns:xlrd2="http://schemas.microsoft.com/office/spreadsheetml/2017/richdata2" ref="A3:W26">
    <sortCondition ref="A3:A300"/>
  </sortState>
  <phoneticPr fontId="54" type="noConversion"/>
  <conditionalFormatting sqref="B2:D2 B13:D18 B27:D1048576 B19:B26">
    <cfRule type="endsWith" dxfId="155" priority="21511" operator="endsWith" text=" ">
      <formula>RIGHT(B2,LEN(" "))=" "</formula>
    </cfRule>
  </conditionalFormatting>
  <conditionalFormatting sqref="B1:D1">
    <cfRule type="endsWith" dxfId="154" priority="9737" operator="endsWith" text=" ">
      <formula>RIGHT(B1,LEN(" "))=" "</formula>
    </cfRule>
  </conditionalFormatting>
  <conditionalFormatting sqref="R3:S3">
    <cfRule type="expression" dxfId="153" priority="260">
      <formula>ISBLANK($R3)</formula>
    </cfRule>
  </conditionalFormatting>
  <conditionalFormatting sqref="R3">
    <cfRule type="expression" dxfId="152" priority="259">
      <formula>IF(#REF!="제외",1,0)</formula>
    </cfRule>
  </conditionalFormatting>
  <conditionalFormatting sqref="V3">
    <cfRule type="expression" dxfId="151" priority="258">
      <formula>ISBLANK($V3)</formula>
    </cfRule>
  </conditionalFormatting>
  <conditionalFormatting sqref="S3">
    <cfRule type="expression" dxfId="150" priority="257">
      <formula>#REF!="제외"="해당없음"</formula>
    </cfRule>
  </conditionalFormatting>
  <conditionalFormatting sqref="V3">
    <cfRule type="expression" dxfId="149" priority="256">
      <formula>#REF!="제외"</formula>
    </cfRule>
  </conditionalFormatting>
  <conditionalFormatting sqref="B3:D3">
    <cfRule type="endsWith" dxfId="148" priority="255" operator="endsWith" text=" ">
      <formula>RIGHT(B3,LEN(" "))=" "</formula>
    </cfRule>
  </conditionalFormatting>
  <conditionalFormatting sqref="S3">
    <cfRule type="expression" dxfId="147" priority="261">
      <formula>#REF!="제외"</formula>
    </cfRule>
    <cfRule type="expression" dxfId="146" priority="262">
      <formula>TEXT(#REF!,"YYYY")="2022"</formula>
    </cfRule>
    <cfRule type="expression" dxfId="145" priority="263">
      <formula>$S3="조치완료"</formula>
    </cfRule>
    <cfRule type="expression" dxfId="144" priority="264">
      <formula>$S3="조치미흡"</formula>
    </cfRule>
  </conditionalFormatting>
  <conditionalFormatting sqref="T3">
    <cfRule type="expression" dxfId="143" priority="265">
      <formula>#REF!="제외"</formula>
    </cfRule>
    <cfRule type="expression" dxfId="142" priority="266">
      <formula>ISBLANK($T3)</formula>
    </cfRule>
  </conditionalFormatting>
  <conditionalFormatting sqref="Q3">
    <cfRule type="expression" dxfId="141" priority="253">
      <formula>ISBLANK($Q3)</formula>
    </cfRule>
    <cfRule type="expression" dxfId="140" priority="254">
      <formula>ISBLANK($Q3)</formula>
    </cfRule>
  </conditionalFormatting>
  <conditionalFormatting sqref="R4:S4">
    <cfRule type="expression" dxfId="139" priority="232">
      <formula>ISBLANK($R4)</formula>
    </cfRule>
  </conditionalFormatting>
  <conditionalFormatting sqref="R4">
    <cfRule type="expression" dxfId="138" priority="231">
      <formula>IF(#REF!="제외",1,0)</formula>
    </cfRule>
  </conditionalFormatting>
  <conditionalFormatting sqref="V4">
    <cfRule type="expression" dxfId="137" priority="230">
      <formula>ISBLANK($V4)</formula>
    </cfRule>
  </conditionalFormatting>
  <conditionalFormatting sqref="S4">
    <cfRule type="expression" dxfId="136" priority="229">
      <formula>#REF!="제외"="해당없음"</formula>
    </cfRule>
  </conditionalFormatting>
  <conditionalFormatting sqref="V4">
    <cfRule type="expression" dxfId="135" priority="228">
      <formula>#REF!="제외"</formula>
    </cfRule>
  </conditionalFormatting>
  <conditionalFormatting sqref="B4:D4">
    <cfRule type="endsWith" dxfId="134" priority="227" operator="endsWith" text=" ">
      <formula>RIGHT(B4,LEN(" "))=" "</formula>
    </cfRule>
  </conditionalFormatting>
  <conditionalFormatting sqref="S4">
    <cfRule type="expression" dxfId="133" priority="233">
      <formula>#REF!="제외"</formula>
    </cfRule>
    <cfRule type="expression" dxfId="132" priority="234">
      <formula>TEXT(#REF!,"YYYY")="2022"</formula>
    </cfRule>
    <cfRule type="expression" dxfId="131" priority="235">
      <formula>$S4="조치완료"</formula>
    </cfRule>
    <cfRule type="expression" dxfId="130" priority="236">
      <formula>$S4="조치미흡"</formula>
    </cfRule>
  </conditionalFormatting>
  <conditionalFormatting sqref="T4">
    <cfRule type="expression" dxfId="129" priority="237">
      <formula>#REF!="제외"</formula>
    </cfRule>
    <cfRule type="expression" dxfId="128" priority="238">
      <formula>ISBLANK($T4)</formula>
    </cfRule>
  </conditionalFormatting>
  <conditionalFormatting sqref="Q4">
    <cfRule type="expression" dxfId="127" priority="225">
      <formula>ISBLANK($Q4)</formula>
    </cfRule>
    <cfRule type="expression" dxfId="126" priority="226">
      <formula>ISBLANK($Q4)</formula>
    </cfRule>
  </conditionalFormatting>
  <conditionalFormatting sqref="R6:S6">
    <cfRule type="expression" dxfId="125" priority="204">
      <formula>ISBLANK($R6)</formula>
    </cfRule>
  </conditionalFormatting>
  <conditionalFormatting sqref="R6">
    <cfRule type="expression" dxfId="124" priority="203">
      <formula>IF(#REF!="제외",1,0)</formula>
    </cfRule>
  </conditionalFormatting>
  <conditionalFormatting sqref="V6">
    <cfRule type="expression" dxfId="123" priority="202">
      <formula>ISBLANK($V6)</formula>
    </cfRule>
  </conditionalFormatting>
  <conditionalFormatting sqref="S6">
    <cfRule type="expression" dxfId="122" priority="201">
      <formula>#REF!="제외"="해당없음"</formula>
    </cfRule>
  </conditionalFormatting>
  <conditionalFormatting sqref="V6">
    <cfRule type="expression" dxfId="121" priority="200">
      <formula>#REF!="제외"</formula>
    </cfRule>
  </conditionalFormatting>
  <conditionalFormatting sqref="B6:D6">
    <cfRule type="endsWith" dxfId="120" priority="199" operator="endsWith" text=" ">
      <formula>RIGHT(B6,LEN(" "))=" "</formula>
    </cfRule>
  </conditionalFormatting>
  <conditionalFormatting sqref="S6">
    <cfRule type="expression" dxfId="119" priority="205">
      <formula>#REF!="제외"</formula>
    </cfRule>
    <cfRule type="expression" dxfId="118" priority="206">
      <formula>TEXT(#REF!,"YYYY")="2022"</formula>
    </cfRule>
    <cfRule type="expression" dxfId="117" priority="207">
      <formula>$S6="조치완료"</formula>
    </cfRule>
    <cfRule type="expression" dxfId="116" priority="208">
      <formula>$S6="조치미흡"</formula>
    </cfRule>
  </conditionalFormatting>
  <conditionalFormatting sqref="T6">
    <cfRule type="expression" dxfId="115" priority="209">
      <formula>#REF!="제외"</formula>
    </cfRule>
    <cfRule type="expression" dxfId="114" priority="210">
      <formula>ISBLANK($T6)</formula>
    </cfRule>
  </conditionalFormatting>
  <conditionalFormatting sqref="Q6">
    <cfRule type="expression" dxfId="113" priority="197">
      <formula>ISBLANK($Q6)</formula>
    </cfRule>
    <cfRule type="expression" dxfId="112" priority="198">
      <formula>ISBLANK($Q6)</formula>
    </cfRule>
  </conditionalFormatting>
  <conditionalFormatting sqref="R8:S8">
    <cfRule type="expression" dxfId="111" priority="176">
      <formula>ISBLANK($R8)</formula>
    </cfRule>
  </conditionalFormatting>
  <conditionalFormatting sqref="R8">
    <cfRule type="expression" dxfId="110" priority="175">
      <formula>IF(#REF!="제외",1,0)</formula>
    </cfRule>
  </conditionalFormatting>
  <conditionalFormatting sqref="V8">
    <cfRule type="expression" dxfId="109" priority="174">
      <formula>ISBLANK($V8)</formula>
    </cfRule>
  </conditionalFormatting>
  <conditionalFormatting sqref="S8">
    <cfRule type="expression" dxfId="108" priority="173">
      <formula>#REF!="제외"="해당없음"</formula>
    </cfRule>
  </conditionalFormatting>
  <conditionalFormatting sqref="V8">
    <cfRule type="expression" dxfId="107" priority="172">
      <formula>#REF!="제외"</formula>
    </cfRule>
  </conditionalFormatting>
  <conditionalFormatting sqref="B8:D8">
    <cfRule type="endsWith" dxfId="106" priority="171" operator="endsWith" text=" ">
      <formula>RIGHT(B8,LEN(" "))=" "</formula>
    </cfRule>
  </conditionalFormatting>
  <conditionalFormatting sqref="S8">
    <cfRule type="expression" dxfId="105" priority="177">
      <formula>#REF!="제외"</formula>
    </cfRule>
    <cfRule type="expression" dxfId="104" priority="178">
      <formula>TEXT(#REF!,"YYYY")="2022"</formula>
    </cfRule>
    <cfRule type="expression" dxfId="103" priority="179">
      <formula>$S8="조치완료"</formula>
    </cfRule>
    <cfRule type="expression" dxfId="102" priority="180">
      <formula>$S8="조치미흡"</formula>
    </cfRule>
  </conditionalFormatting>
  <conditionalFormatting sqref="T8">
    <cfRule type="expression" dxfId="101" priority="181">
      <formula>#REF!="제외"</formula>
    </cfRule>
    <cfRule type="expression" dxfId="100" priority="182">
      <formula>ISBLANK($T8)</formula>
    </cfRule>
  </conditionalFormatting>
  <conditionalFormatting sqref="Q8">
    <cfRule type="expression" dxfId="99" priority="169">
      <formula>ISBLANK($Q8)</formula>
    </cfRule>
    <cfRule type="expression" dxfId="98" priority="170">
      <formula>ISBLANK($Q8)</formula>
    </cfRule>
  </conditionalFormatting>
  <conditionalFormatting sqref="R9:S9">
    <cfRule type="expression" dxfId="97" priority="148">
      <formula>ISBLANK($R9)</formula>
    </cfRule>
  </conditionalFormatting>
  <conditionalFormatting sqref="R9">
    <cfRule type="expression" dxfId="96" priority="147">
      <formula>IF(#REF!="제외",1,0)</formula>
    </cfRule>
  </conditionalFormatting>
  <conditionalFormatting sqref="V9">
    <cfRule type="expression" dxfId="95" priority="146">
      <formula>ISBLANK($V9)</formula>
    </cfRule>
  </conditionalFormatting>
  <conditionalFormatting sqref="S9">
    <cfRule type="expression" dxfId="94" priority="145">
      <formula>#REF!="제외"="해당없음"</formula>
    </cfRule>
  </conditionalFormatting>
  <conditionalFormatting sqref="V9">
    <cfRule type="expression" dxfId="93" priority="144">
      <formula>#REF!="제외"</formula>
    </cfRule>
  </conditionalFormatting>
  <conditionalFormatting sqref="B9:D9">
    <cfRule type="endsWith" dxfId="92" priority="143" operator="endsWith" text=" ">
      <formula>RIGHT(B9,LEN(" "))=" "</formula>
    </cfRule>
  </conditionalFormatting>
  <conditionalFormatting sqref="S9">
    <cfRule type="expression" dxfId="91" priority="149">
      <formula>#REF!="제외"</formula>
    </cfRule>
    <cfRule type="expression" dxfId="90" priority="150">
      <formula>TEXT(#REF!,"YYYY")="2022"</formula>
    </cfRule>
    <cfRule type="expression" dxfId="89" priority="151">
      <formula>$S9="조치완료"</formula>
    </cfRule>
    <cfRule type="expression" dxfId="88" priority="152">
      <formula>$S9="조치미흡"</formula>
    </cfRule>
  </conditionalFormatting>
  <conditionalFormatting sqref="T9">
    <cfRule type="expression" dxfId="87" priority="153">
      <formula>#REF!="제외"</formula>
    </cfRule>
    <cfRule type="expression" dxfId="86" priority="154">
      <formula>ISBLANK($T9)</formula>
    </cfRule>
  </conditionalFormatting>
  <conditionalFormatting sqref="Q9">
    <cfRule type="expression" dxfId="85" priority="141">
      <formula>ISBLANK($Q9)</formula>
    </cfRule>
    <cfRule type="expression" dxfId="84" priority="142">
      <formula>ISBLANK($Q9)</formula>
    </cfRule>
  </conditionalFormatting>
  <conditionalFormatting sqref="R10:S10">
    <cfRule type="expression" dxfId="83" priority="120">
      <formula>ISBLANK($R10)</formula>
    </cfRule>
  </conditionalFormatting>
  <conditionalFormatting sqref="R10">
    <cfRule type="expression" dxfId="82" priority="119">
      <formula>IF(#REF!="제외",1,0)</formula>
    </cfRule>
  </conditionalFormatting>
  <conditionalFormatting sqref="V10">
    <cfRule type="expression" dxfId="81" priority="118">
      <formula>ISBLANK($V10)</formula>
    </cfRule>
  </conditionalFormatting>
  <conditionalFormatting sqref="S10">
    <cfRule type="expression" dxfId="80" priority="117">
      <formula>#REF!="제외"="해당없음"</formula>
    </cfRule>
  </conditionalFormatting>
  <conditionalFormatting sqref="V10">
    <cfRule type="expression" dxfId="79" priority="116">
      <formula>#REF!="제외"</formula>
    </cfRule>
  </conditionalFormatting>
  <conditionalFormatting sqref="B10:D10">
    <cfRule type="endsWith" dxfId="78" priority="115" operator="endsWith" text=" ">
      <formula>RIGHT(B10,LEN(" "))=" "</formula>
    </cfRule>
  </conditionalFormatting>
  <conditionalFormatting sqref="S10">
    <cfRule type="expression" dxfId="77" priority="121">
      <formula>#REF!="제외"</formula>
    </cfRule>
    <cfRule type="expression" dxfId="76" priority="122">
      <formula>TEXT(#REF!,"YYYY")="2022"</formula>
    </cfRule>
    <cfRule type="expression" dxfId="75" priority="123">
      <formula>$S10="조치완료"</formula>
    </cfRule>
    <cfRule type="expression" dxfId="74" priority="124">
      <formula>$S10="조치미흡"</formula>
    </cfRule>
  </conditionalFormatting>
  <conditionalFormatting sqref="T10">
    <cfRule type="expression" dxfId="73" priority="125">
      <formula>#REF!="제외"</formula>
    </cfRule>
    <cfRule type="expression" dxfId="72" priority="126">
      <formula>ISBLANK($T10)</formula>
    </cfRule>
  </conditionalFormatting>
  <conditionalFormatting sqref="Q10">
    <cfRule type="expression" dxfId="71" priority="113">
      <formula>ISBLANK($Q10)</formula>
    </cfRule>
    <cfRule type="expression" dxfId="70" priority="114">
      <formula>ISBLANK($Q10)</formula>
    </cfRule>
  </conditionalFormatting>
  <conditionalFormatting sqref="R11:S11">
    <cfRule type="expression" dxfId="69" priority="92">
      <formula>ISBLANK($R11)</formula>
    </cfRule>
  </conditionalFormatting>
  <conditionalFormatting sqref="R11">
    <cfRule type="expression" dxfId="68" priority="91">
      <formula>IF(#REF!="제외",1,0)</formula>
    </cfRule>
  </conditionalFormatting>
  <conditionalFormatting sqref="V11">
    <cfRule type="expression" dxfId="67" priority="90">
      <formula>ISBLANK($V11)</formula>
    </cfRule>
  </conditionalFormatting>
  <conditionalFormatting sqref="S11">
    <cfRule type="expression" dxfId="66" priority="89">
      <formula>#REF!="제외"="해당없음"</formula>
    </cfRule>
  </conditionalFormatting>
  <conditionalFormatting sqref="V11">
    <cfRule type="expression" dxfId="65" priority="88">
      <formula>#REF!="제외"</formula>
    </cfRule>
  </conditionalFormatting>
  <conditionalFormatting sqref="B11:D11">
    <cfRule type="endsWith" dxfId="64" priority="87" operator="endsWith" text=" ">
      <formula>RIGHT(B11,LEN(" "))=" "</formula>
    </cfRule>
  </conditionalFormatting>
  <conditionalFormatting sqref="S11">
    <cfRule type="expression" dxfId="63" priority="93">
      <formula>#REF!="제외"</formula>
    </cfRule>
    <cfRule type="expression" dxfId="62" priority="94">
      <formula>TEXT(#REF!,"YYYY")="2022"</formula>
    </cfRule>
    <cfRule type="expression" dxfId="61" priority="95">
      <formula>$S11="조치완료"</formula>
    </cfRule>
    <cfRule type="expression" dxfId="60" priority="96">
      <formula>$S11="조치미흡"</formula>
    </cfRule>
  </conditionalFormatting>
  <conditionalFormatting sqref="T11">
    <cfRule type="expression" dxfId="59" priority="97">
      <formula>#REF!="제외"</formula>
    </cfRule>
    <cfRule type="expression" dxfId="58" priority="98">
      <formula>ISBLANK($T11)</formula>
    </cfRule>
  </conditionalFormatting>
  <conditionalFormatting sqref="Q11">
    <cfRule type="expression" dxfId="57" priority="85">
      <formula>ISBLANK($Q11)</formula>
    </cfRule>
    <cfRule type="expression" dxfId="56" priority="86">
      <formula>ISBLANK($Q11)</formula>
    </cfRule>
  </conditionalFormatting>
  <conditionalFormatting sqref="R5:S5">
    <cfRule type="expression" dxfId="55" priority="64">
      <formula>ISBLANK($R5)</formula>
    </cfRule>
  </conditionalFormatting>
  <conditionalFormatting sqref="R5">
    <cfRule type="expression" dxfId="54" priority="63">
      <formula>IF(#REF!="제외",1,0)</formula>
    </cfRule>
  </conditionalFormatting>
  <conditionalFormatting sqref="V5">
    <cfRule type="expression" dxfId="53" priority="62">
      <formula>ISBLANK($V5)</formula>
    </cfRule>
  </conditionalFormatting>
  <conditionalFormatting sqref="S5">
    <cfRule type="expression" dxfId="52" priority="61">
      <formula>#REF!="제외"="해당없음"</formula>
    </cfRule>
  </conditionalFormatting>
  <conditionalFormatting sqref="V5">
    <cfRule type="expression" dxfId="51" priority="60">
      <formula>#REF!="제외"</formula>
    </cfRule>
  </conditionalFormatting>
  <conditionalFormatting sqref="B5:D5">
    <cfRule type="endsWith" dxfId="50" priority="59" operator="endsWith" text=" ">
      <formula>RIGHT(B5,LEN(" "))=" "</formula>
    </cfRule>
  </conditionalFormatting>
  <conditionalFormatting sqref="S5">
    <cfRule type="expression" dxfId="49" priority="65">
      <formula>#REF!="제외"</formula>
    </cfRule>
    <cfRule type="expression" dxfId="48" priority="66">
      <formula>TEXT(#REF!,"YYYY")="2022"</formula>
    </cfRule>
    <cfRule type="expression" dxfId="47" priority="67">
      <formula>$S5="조치완료"</formula>
    </cfRule>
    <cfRule type="expression" dxfId="46" priority="68">
      <formula>$S5="조치미흡"</formula>
    </cfRule>
  </conditionalFormatting>
  <conditionalFormatting sqref="T5">
    <cfRule type="expression" dxfId="45" priority="69">
      <formula>#REF!="제외"</formula>
    </cfRule>
    <cfRule type="expression" dxfId="44" priority="70">
      <formula>ISBLANK($T5)</formula>
    </cfRule>
  </conditionalFormatting>
  <conditionalFormatting sqref="Q5">
    <cfRule type="expression" dxfId="43" priority="57">
      <formula>ISBLANK($Q5)</formula>
    </cfRule>
    <cfRule type="expression" dxfId="42" priority="58">
      <formula>ISBLANK($Q5)</formula>
    </cfRule>
  </conditionalFormatting>
  <conditionalFormatting sqref="R7:S7">
    <cfRule type="expression" dxfId="41" priority="36">
      <formula>ISBLANK($R7)</formula>
    </cfRule>
  </conditionalFormatting>
  <conditionalFormatting sqref="R7">
    <cfRule type="expression" dxfId="40" priority="35">
      <formula>IF(#REF!="제외",1,0)</formula>
    </cfRule>
  </conditionalFormatting>
  <conditionalFormatting sqref="V7">
    <cfRule type="expression" dxfId="39" priority="34">
      <formula>ISBLANK($V7)</formula>
    </cfRule>
  </conditionalFormatting>
  <conditionalFormatting sqref="S7">
    <cfRule type="expression" dxfId="38" priority="33">
      <formula>#REF!="제외"="해당없음"</formula>
    </cfRule>
  </conditionalFormatting>
  <conditionalFormatting sqref="V7">
    <cfRule type="expression" dxfId="37" priority="32">
      <formula>#REF!="제외"</formula>
    </cfRule>
  </conditionalFormatting>
  <conditionalFormatting sqref="B7:D7">
    <cfRule type="endsWith" dxfId="36" priority="31" operator="endsWith" text=" ">
      <formula>RIGHT(B7,LEN(" "))=" "</formula>
    </cfRule>
  </conditionalFormatting>
  <conditionalFormatting sqref="S7">
    <cfRule type="expression" dxfId="35" priority="37">
      <formula>#REF!="제외"</formula>
    </cfRule>
    <cfRule type="expression" dxfId="34" priority="38">
      <formula>TEXT(#REF!,"YYYY")="2022"</formula>
    </cfRule>
    <cfRule type="expression" dxfId="33" priority="39">
      <formula>$S7="조치완료"</formula>
    </cfRule>
    <cfRule type="expression" dxfId="32" priority="40">
      <formula>$S7="조치미흡"</formula>
    </cfRule>
  </conditionalFormatting>
  <conditionalFormatting sqref="T7">
    <cfRule type="expression" dxfId="31" priority="41">
      <formula>#REF!="제외"</formula>
    </cfRule>
    <cfRule type="expression" dxfId="30" priority="42">
      <formula>ISBLANK($T7)</formula>
    </cfRule>
  </conditionalFormatting>
  <conditionalFormatting sqref="Q7">
    <cfRule type="expression" dxfId="29" priority="29">
      <formula>ISBLANK($Q7)</formula>
    </cfRule>
    <cfRule type="expression" dxfId="28" priority="30">
      <formula>ISBLANK($Q7)</formula>
    </cfRule>
  </conditionalFormatting>
  <conditionalFormatting sqref="R12:S12">
    <cfRule type="expression" dxfId="27" priority="8">
      <formula>ISBLANK($R12)</formula>
    </cfRule>
  </conditionalFormatting>
  <conditionalFormatting sqref="R12">
    <cfRule type="expression" dxfId="26" priority="7">
      <formula>IF(#REF!="제외",1,0)</formula>
    </cfRule>
  </conditionalFormatting>
  <conditionalFormatting sqref="V12">
    <cfRule type="expression" dxfId="25" priority="6">
      <formula>ISBLANK($V12)</formula>
    </cfRule>
  </conditionalFormatting>
  <conditionalFormatting sqref="S12">
    <cfRule type="expression" dxfId="24" priority="5">
      <formula>#REF!="제외"="해당없음"</formula>
    </cfRule>
  </conditionalFormatting>
  <conditionalFormatting sqref="V12">
    <cfRule type="expression" dxfId="23" priority="4">
      <formula>#REF!="제외"</formula>
    </cfRule>
  </conditionalFormatting>
  <conditionalFormatting sqref="B12:D12">
    <cfRule type="endsWith" dxfId="22" priority="3" operator="endsWith" text=" ">
      <formula>RIGHT(B12,LEN(" "))=" "</formula>
    </cfRule>
  </conditionalFormatting>
  <conditionalFormatting sqref="S12">
    <cfRule type="expression" dxfId="21" priority="9">
      <formula>#REF!="제외"</formula>
    </cfRule>
    <cfRule type="expression" dxfId="20" priority="10">
      <formula>TEXT(#REF!,"YYYY")="2022"</formula>
    </cfRule>
    <cfRule type="expression" dxfId="19" priority="11">
      <formula>$S12="조치완료"</formula>
    </cfRule>
    <cfRule type="expression" dxfId="18" priority="12">
      <formula>$S12="조치미흡"</formula>
    </cfRule>
  </conditionalFormatting>
  <conditionalFormatting sqref="T12">
    <cfRule type="expression" dxfId="17" priority="13">
      <formula>#REF!="제외"</formula>
    </cfRule>
    <cfRule type="expression" dxfId="16" priority="14">
      <formula>ISBLANK($T12)</formula>
    </cfRule>
  </conditionalFormatting>
  <conditionalFormatting sqref="Q12">
    <cfRule type="expression" dxfId="15" priority="1">
      <formula>ISBLANK($Q12)</formula>
    </cfRule>
    <cfRule type="expression" dxfId="14" priority="2">
      <formula>ISBLANK($Q12)</formula>
    </cfRule>
  </conditionalFormatting>
  <dataValidations count="1">
    <dataValidation type="list" allowBlank="1" showInputMessage="1" showErrorMessage="1" sqref="S3:S12" xr:uid="{652AA810-EAA2-46B9-8CA0-960AF84F3C45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박준태(모의해킹 (품질관리/기술지원)) - B2B영업팀</cp:lastModifiedBy>
  <cp:lastPrinted>2020-04-20T07:45:33Z</cp:lastPrinted>
  <dcterms:created xsi:type="dcterms:W3CDTF">2011-10-23T23:52:17Z</dcterms:created>
  <dcterms:modified xsi:type="dcterms:W3CDTF">2025-06-20T00:24:56Z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