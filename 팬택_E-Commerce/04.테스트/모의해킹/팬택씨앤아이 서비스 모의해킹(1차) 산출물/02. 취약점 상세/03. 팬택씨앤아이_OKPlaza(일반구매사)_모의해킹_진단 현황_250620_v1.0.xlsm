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. 업무\01. 모의해킹\02. 사전 보안성 검토\03. 2025\팬택씨엔아이\OKPlaza(일반구매사)\"/>
    </mc:Choice>
  </mc:AlternateContent>
  <bookViews>
    <workbookView xWindow="-120" yWindow="-120" windowWidth="29040" windowHeight="15840" activeTab="1" xr2:uid="{2FA97C8E-42C0-4E9B-82EB-1BE8B9E1D0BB}"/>
  </bookViews>
  <sheets>
    <sheet name="01. 대상정보" sheetId="109" r:id="rId1"/>
    <sheet name="02. 취약점 상세" sheetId="123" r:id="rId2"/>
    <sheet name="TMPL_취약점 상세" sheetId="127" state="hidden" r:id="rId3"/>
    <sheet name="04. 전자금융 체크리스트(수정x)" sheetId="124" state="hidden" r:id="rId4"/>
    <sheet name="03. 범용 체크리스트(수정X)" sheetId="120" state="hidden" r:id="rId5"/>
  </sheets>
  <functionGroups builtInGroupCount="19"/>
  <externalReferences>
    <externalReference r:id="rId6"/>
  </externalReferences>
  <definedNames>
    <definedName name="_xlnm._FilterDatabase" localSheetId="1" hidden="1">'02. 취약점 상세'!$A$2:$V$2</definedName>
    <definedName name="_xlnm._FilterDatabase" localSheetId="2" hidden="1">'TMPL_취약점 상세'!$A$2:$V$3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3" i="123" l="1"/>
  <c r="G13" i="123"/>
  <c r="E13" i="123"/>
  <c r="P5" i="123"/>
  <c r="P4" i="123"/>
  <c r="G5" i="123"/>
  <c r="E5" i="123"/>
  <c r="G4" i="123"/>
  <c r="E4" i="123"/>
  <c r="P9" i="123" l="1"/>
  <c r="G9" i="123"/>
  <c r="E9" i="123"/>
  <c r="P3" i="123"/>
  <c r="G3" i="123"/>
  <c r="E3" i="123"/>
  <c r="P7" i="123"/>
  <c r="G7" i="123"/>
  <c r="E7" i="123"/>
  <c r="P6" i="123"/>
  <c r="G6" i="123"/>
  <c r="E6" i="123"/>
  <c r="P8" i="123" l="1"/>
  <c r="G8" i="123"/>
  <c r="E8" i="123"/>
  <c r="P12" i="123" l="1"/>
  <c r="G12" i="123"/>
  <c r="E12" i="123"/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<sst xmlns="http://schemas.openxmlformats.org/spreadsheetml/2006/main" count="634" uniqueCount="474">
  <si>
    <t>코드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</si>
  <si>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</si>
  <si>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</si>
  <si>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</si>
  <si>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-</t>
    <phoneticPr fontId="54" type="noConversion"/>
  </si>
  <si>
    <t>공격 구문</t>
    <phoneticPr fontId="54" type="noConversion"/>
  </si>
  <si>
    <t>위험 등급</t>
    <phoneticPr fontId="54" type="noConversion"/>
  </si>
  <si>
    <t>취약한 HTTPS 재협상 허용</t>
  </si>
  <si>
    <t>하</t>
  </si>
  <si>
    <t>불충분한 인증</t>
  </si>
  <si>
    <t>중</t>
  </si>
  <si>
    <t>취약한 HTTPS 암호 알고리즘 이용</t>
  </si>
  <si>
    <t>상</t>
  </si>
  <si>
    <t>파일 다운로드</t>
  </si>
  <si>
    <t>불충분한 인가</t>
  </si>
  <si>
    <t>취약한 HTTPS 프로토콜 이용</t>
  </si>
  <si>
    <t>취약한 HTTPS 컴포넌트 사용</t>
  </si>
  <si>
    <t>내용</t>
    <phoneticPr fontId="53" type="noConversion"/>
  </si>
  <si>
    <t>권고</t>
  </si>
  <si>
    <t>백그라운드 화면 보호</t>
  </si>
  <si>
    <t>W-011</t>
  </si>
  <si>
    <t>크로스사이트 스크립팅(XSS)</t>
  </si>
  <si>
    <t>CASE</t>
    <phoneticPr fontId="53" type="noConversion"/>
  </si>
  <si>
    <t>상세분류</t>
    <phoneticPr fontId="53" type="noConversion"/>
  </si>
  <si>
    <t>코드</t>
  </si>
  <si>
    <t>진단항목</t>
  </si>
  <si>
    <t>점검 목적</t>
  </si>
  <si>
    <t>등급</t>
  </si>
  <si>
    <t>W-001</t>
  </si>
  <si>
    <t>버퍼 오버플로우</t>
  </si>
  <si>
    <t>어플리케이션에서 파라미터 입력 값에 대한 적절성을 점검하여 비정상적 오류 발생을 차단</t>
  </si>
  <si>
    <t>W-002</t>
  </si>
  <si>
    <t>포맷스트링</t>
  </si>
  <si>
    <t>포맷스트링 버그로 인한 시스템 권한 탈취의 위험 방지</t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</si>
  <si>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</si>
  <si>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</si>
  <si>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</si>
  <si>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</si>
  <si>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운영체제 명령실행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</si>
  <si>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</si>
  <si>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</si>
  <si>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</si>
  <si>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</si>
  <si>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</si>
  <si>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</si>
  <si>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</si>
  <si>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</si>
  <si>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</si>
  <si>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</si>
  <si>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</si>
  <si>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</si>
  <si>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</si>
  <si>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W-009</t>
  </si>
  <si>
    <t>정보 누출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</si>
  <si>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</si>
  <si>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</si>
  <si>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</si>
  <si>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</si>
  <si>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웹 페이지 내 크로스사이트 스크립팅 취약점을 제거하여 악성스크립트의 실행 차단</t>
  </si>
  <si>
    <t>W-012</t>
  </si>
  <si>
    <t>약한 문자열 강도</t>
  </si>
  <si>
    <t>유추 가능한 취약한 문자열 사용을 제한하여 계정 및 패스워드 추측 공격 방지</t>
  </si>
  <si>
    <t>W-013</t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</si>
  <si>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</si>
  <si>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</si>
  <si>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</si>
  <si>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</si>
  <si>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</si>
  <si>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</si>
  <si>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</si>
  <si>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</si>
  <si>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</si>
  <si>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</si>
  <si>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W-017</t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</si>
  <si>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</si>
  <si>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</si>
  <si>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</si>
  <si>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</si>
  <si>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W-019</t>
  </si>
  <si>
    <t>세션고정</t>
  </si>
  <si>
    <t>로그인 시 예측 불가능한 신규 세션ID 발행하여 세션ID 고정 사용 방지</t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</si>
  <si>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</si>
  <si>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</si>
  <si>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</si>
  <si>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</si>
  <si>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</si>
  <si>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</si>
  <si>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W-022</t>
  </si>
  <si>
    <t>파일이 저장된 디렉터리 이외의 접근 및 임의의 위치에 있는 파일 열람, 다운받는 것 방지</t>
  </si>
  <si>
    <t>W-023</t>
  </si>
  <si>
    <t>관리자페이지 노출</t>
  </si>
  <si>
    <t>비인가자의 관리자 메뉴 접근 방지</t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</si>
  <si>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</si>
  <si>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</si>
  <si>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</si>
  <si>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</si>
  <si>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</si>
  <si>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</si>
  <si>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W-026</t>
  </si>
  <si>
    <t>데이터 평문 전송</t>
  </si>
  <si>
    <t>서버와 클라이언트간 평문으로 전송되는 데이터의 유출 방지</t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</si>
  <si>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</si>
  <si>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</si>
  <si>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</si>
  <si>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</si>
  <si>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</si>
  <si>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W-129</t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</si>
  <si>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</si>
  <si>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</si>
  <si>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</si>
  <si>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</si>
  <si>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</si>
  <si>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</si>
  <si>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</si>
  <si>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</si>
  <si>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W-233</t>
  </si>
  <si>
    <t>크리덴셜 스터핑</t>
  </si>
  <si>
    <t>유출된 크리덴셜을 사용하여 단기간 내 대량의 사용자 계정정보 탈취 방지</t>
  </si>
  <si>
    <t>OS변조 탐지</t>
  </si>
  <si>
    <t>권한이 상승된 OS변조 단말 이용으로 인한 보안 위협 방지</t>
  </si>
  <si>
    <t>M-102</t>
  </si>
  <si>
    <t>프로그램 무결성 검증</t>
  </si>
  <si>
    <t>변조된 프로그램이 정상 실행 될 경우, 악성코드가 포함되어 재배포 되는 등의 보안 위협 방지</t>
  </si>
  <si>
    <t>M-103</t>
  </si>
  <si>
    <t>소스코드 난독화</t>
  </si>
  <si>
    <t>디컴파일된 소스코드의 프로그램의 구조 및 코드 흐름 파악을 통한 앱분석 방지</t>
  </si>
  <si>
    <t>M-104</t>
  </si>
  <si>
    <t>디버깅 탐지</t>
  </si>
  <si>
    <t>동적 디버깅을 통한 프로그램 흐름 파악을 통한 앱 분석 방지</t>
  </si>
  <si>
    <t>M-105</t>
  </si>
  <si>
    <t>단말기 내 중요정보 저장</t>
  </si>
  <si>
    <t>어플리케이션 사용 폴더 및 외부 저장소에 존재하는 파일 내 중요정보 저장을 통한 정보 유출 방지</t>
  </si>
  <si>
    <t>M-106</t>
  </si>
  <si>
    <t>메모리 내 중요정보 노출</t>
  </si>
  <si>
    <t>이용자 단말기 메모리 영역에서 이용자 중요정보의 평문노출 방지</t>
  </si>
  <si>
    <t>M-107</t>
  </si>
  <si>
    <t>화면 내 중요정보 평문 노출</t>
  </si>
  <si>
    <t>이용자 단말기에서 화면 내에 이용자 중요정보의 평문노출 방지</t>
  </si>
  <si>
    <t>M-108</t>
  </si>
  <si>
    <t>앱 소스코드 내 운영정보 노출</t>
  </si>
  <si>
    <t>어플리케이션을 디컴파일 및 역분석하여 코드 상에 운영 정보의 노출 제거</t>
  </si>
  <si>
    <t>M-109</t>
  </si>
  <si>
    <t>화면 강제실행에 의한 인증단계 우회</t>
  </si>
  <si>
    <t>화면강제 실행, 인증관련 파일 조작 등을 통한 인증단계 우회 방지</t>
  </si>
  <si>
    <t>M-110</t>
  </si>
  <si>
    <t>디버그 로그 내 중요정보 노출</t>
  </si>
  <si>
    <t>DDMS 등 디버그 로그를 확인 할 수 있는 도구를 이용하여 디버그 로그 내 중요정보 노출 방지</t>
  </si>
  <si>
    <t>M-111</t>
  </si>
  <si>
    <t>실행중인 어플리케이션이 백그라운드 상태로 진입할 때 저장되는 스냅샷 파일 내 중요정보 노출 방지</t>
  </si>
  <si>
    <t>취약점 명
(입력X)</t>
    <phoneticPr fontId="53" type="noConversion"/>
  </si>
  <si>
    <t>구분
(입력X)</t>
    <phoneticPr fontId="53" type="noConversion"/>
  </si>
  <si>
    <t>일반해킹지식보유</t>
    <phoneticPr fontId="54" type="noConversion"/>
  </si>
  <si>
    <t>이행점검자</t>
    <phoneticPr fontId="54" type="noConversion"/>
  </si>
  <si>
    <t>W-134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</si>
  <si>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</si>
  <si>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</si>
  <si>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W-135</t>
  </si>
  <si>
    <t>비밀번호 오류횟수 제한기능 제공 여부</t>
  </si>
  <si>
    <t>중</t>
    <phoneticPr fontId="54" type="noConversion"/>
  </si>
  <si>
    <t>전문해킹지식보유</t>
    <phoneticPr fontId="54" type="noConversion"/>
  </si>
  <si>
    <t>불필요한 웹 메서드 허용</t>
    <phoneticPr fontId="54" type="noConversion"/>
  </si>
  <si>
    <t>비밀번호 오류 횟수 체크하여 무차별 대입 공격 방지</t>
    <phoneticPr fontId="54" type="noConversion"/>
  </si>
  <si>
    <t>M-101</t>
    <phoneticPr fontId="54" type="noConversion"/>
  </si>
  <si>
    <t>이행점검
수행일정</t>
    <phoneticPr fontId="54" type="noConversion"/>
  </si>
  <si>
    <t>이행결과</t>
    <phoneticPr fontId="54" type="noConversion"/>
  </si>
  <si>
    <t>WEB</t>
    <phoneticPr fontId="54" type="noConversion"/>
  </si>
  <si>
    <t>이행내용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</si>
  <si>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</si>
  <si>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</si>
  <si>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</si>
  <si>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</si>
  <si>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</si>
  <si>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</si>
  <si>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</si>
  <si>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</si>
  <si>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</si>
  <si>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</si>
  <si>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</si>
  <si>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</si>
  <si>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</si>
  <si>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</si>
  <si>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</si>
  <si>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</si>
  <si>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</si>
  <si>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</si>
  <si>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</si>
  <si>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</si>
  <si>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</si>
  <si>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</si>
  <si>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</si>
  <si>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</si>
  <si>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</si>
  <si>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</si>
  <si>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</si>
  <si>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</si>
  <si>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</si>
  <si>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</si>
  <si>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</si>
  <si>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</si>
  <si>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</si>
  <si>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</si>
  <si>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</si>
  <si>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</si>
  <si>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</si>
  <si>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</si>
  <si>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</si>
  <si>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</si>
  <si>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</si>
  <si>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</si>
  <si>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</si>
  <si>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</si>
  <si>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</si>
  <si>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</si>
  <si>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</si>
  <si>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</si>
  <si>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</si>
  <si>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</si>
  <si>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</si>
  <si>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</si>
  <si>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</si>
  <si>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</si>
  <si>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</si>
  <si>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</si>
  <si>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</si>
  <si>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</si>
  <si>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</si>
  <si>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</si>
  <si>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</si>
  <si>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</si>
  <si>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</si>
  <si>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</si>
  <si>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</si>
  <si>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</si>
  <si>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</si>
  <si>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</si>
  <si>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</si>
  <si>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</si>
  <si>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</si>
  <si>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</si>
  <si>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</si>
  <si>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</si>
  <si>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</si>
  <si>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</si>
  <si>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</si>
  <si>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</si>
  <si>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</si>
  <si>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</si>
  <si>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</si>
  <si>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</si>
  <si>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</si>
  <si>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</si>
  <si>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</si>
  <si>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</si>
  <si>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</si>
  <si>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</si>
  <si>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</si>
  <si>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</si>
  <si>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</si>
  <si>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</si>
  <si>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</si>
  <si>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</si>
  <si>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</si>
  <si>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</si>
  <si>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</si>
  <si>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</si>
  <si>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</si>
  <si>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</si>
  <si>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</si>
  <si>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</si>
  <si>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</si>
  <si>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</si>
  <si>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</si>
  <si>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</si>
  <si>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</si>
  <si>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</si>
  <si>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</si>
  <si>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</si>
  <si>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</si>
  <si>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</si>
  <si>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</si>
  <si>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</si>
  <si>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</si>
  <si>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</si>
  <si>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</si>
  <si>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</si>
  <si>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</si>
  <si>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</si>
  <si>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</si>
  <si>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</si>
  <si>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</si>
  <si>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</si>
  <si>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</si>
  <si>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</si>
  <si>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</si>
  <si>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</si>
  <si>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</si>
  <si>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</si>
  <si>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</si>
  <si>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</si>
  <si>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</si>
  <si>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</si>
  <si>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</si>
  <si>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</si>
  <si>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</si>
  <si>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</si>
  <si>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</si>
  <si>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</si>
  <si>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</si>
  <si>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</si>
  <si>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</si>
  <si>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</si>
  <si>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</si>
  <si>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</si>
  <si>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</si>
  <si>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</si>
  <si>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</si>
  <si>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</si>
  <si>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</si>
  <si>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</si>
  <si>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</si>
  <si>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</si>
  <si>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</si>
  <si>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</si>
  <si>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</si>
  <si>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</si>
  <si>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</si>
  <si>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</si>
  <si>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</si>
  <si>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</si>
  <si>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</si>
  <si>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</si>
  <si>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</si>
  <si>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</si>
  <si>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</si>
  <si>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</si>
  <si>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</si>
  <si>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</si>
  <si>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</si>
  <si>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</si>
  <si>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</si>
  <si>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</si>
  <si>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</si>
  <si>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</si>
  <si>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</si>
  <si>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</si>
  <si>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</si>
  <si>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</si>
  <si>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</si>
  <si>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o 취약한 HTTPS 확장 모듈 사용 시 암호화된 정보 노출 등의 위협이 존재함에 따라 이에  대한 취약점 존재 유무 점검</t>
  </si>
  <si>
    <t>WS-7-63</t>
  </si>
  <si>
    <t>o 암호화된 통신내용이 노출될 가능성이 존재하는 취약한 방식의 HTTPS 재협상(Renegotiation)을 허용 여부를 점검</t>
  </si>
  <si>
    <t>오지훈</t>
    <phoneticPr fontId="54" type="noConversion"/>
  </si>
  <si>
    <t>대상명</t>
    <phoneticPr fontId="54" type="noConversion"/>
  </si>
  <si>
    <t>프로젝트명</t>
    <phoneticPr fontId="54" type="noConversion"/>
  </si>
  <si>
    <t>외부</t>
    <phoneticPr fontId="54" type="noConversion"/>
  </si>
  <si>
    <t>No</t>
    <phoneticPr fontId="53" type="noConversion"/>
  </si>
  <si>
    <t>내/외</t>
    <phoneticPr fontId="54" type="noConversion"/>
  </si>
  <si>
    <t>도메인주소</t>
    <phoneticPr fontId="53" type="noConversion"/>
  </si>
  <si>
    <t>비고</t>
    <phoneticPr fontId="53" type="noConversion"/>
  </si>
  <si>
    <t>점검자</t>
    <phoneticPr fontId="54" type="noConversion"/>
  </si>
  <si>
    <t>비고</t>
    <phoneticPr fontId="53" type="noConversion"/>
  </si>
  <si>
    <t>대상명</t>
    <phoneticPr fontId="53" type="noConversion"/>
  </si>
  <si>
    <t>관계사</t>
    <phoneticPr fontId="54" type="noConversion"/>
  </si>
  <si>
    <t>서비스형태</t>
    <phoneticPr fontId="53" type="noConversion"/>
  </si>
  <si>
    <t>대상 메뉴</t>
    <phoneticPr fontId="53" type="noConversion"/>
  </si>
  <si>
    <t>-</t>
    <phoneticPr fontId="67" type="noConversion"/>
  </si>
  <si>
    <t>핫픽스여부</t>
    <phoneticPr fontId="53" type="noConversion"/>
  </si>
  <si>
    <t>X</t>
    <phoneticPr fontId="54" type="noConversion"/>
  </si>
  <si>
    <t>점검일</t>
    <phoneticPr fontId="53" type="noConversion"/>
  </si>
  <si>
    <t>운영팀
개선일정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</si>
  <si>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</si>
  <si>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</si>
  <si>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</si>
  <si>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W-000</t>
    <phoneticPr fontId="54" type="noConversion"/>
  </si>
  <si>
    <t>W-037</t>
    <phoneticPr fontId="54" type="noConversion"/>
  </si>
  <si>
    <t>자동화 공격</t>
    <phoneticPr fontId="54" type="noConversion"/>
  </si>
  <si>
    <t>내용</t>
    <phoneticPr fontId="54" type="noConversion"/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</si>
  <si>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</si>
  <si>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브라우저를 통해 특정 디렉터리 경로에 접근 시 디렉터리 파일 리스트가 노출되어 응용 시스템의 구조 및 민감한 정보가 포함된 설정 파일 등이 노출될 수 있음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</si>
  <si>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</si>
  <si>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</si>
  <si>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비밀번호 변경시 비밀번호 복잡도 설정이 미흡하여 취약한 비밀번호 설정이 가능함</t>
    <phoneticPr fontId="54" type="noConversion"/>
  </si>
  <si>
    <t>사용자 인증 세션의 복잡도가 부족하여 세션 예측이 가능함. 인증 세션의 경우 추측 불가능한 난수로 생성해야 함</t>
    <phoneticPr fontId="54" type="noConversion"/>
  </si>
  <si>
    <t>세션 만료 시간이 설정되어 있지 않아 동작없이 장시간(1시간이상) 대기 시 세션이 만료되지 않는 것을 확인함</t>
    <phoneticPr fontId="54" type="noConversion"/>
  </si>
  <si>
    <t>로그인/로그아웃 시 세션이 갱신되지 않는 것을 확인함</t>
    <phoneticPr fontId="54" type="noConversion"/>
  </si>
  <si>
    <t>파일 업로드 시 파일 확장자에 대한 검증이 미흡하여 서버 사이트 스크립트 파일 업로드가 가능한 것을 확인함</t>
    <phoneticPr fontId="54" type="noConversion"/>
  </si>
  <si>
    <t>파라미터 변조를 통해 지정된 파일이 아닌 서버 내 다른 디렉토리에 위치한 파일(/etc/passwd)을 다운로드 할 수 있는 것을 확인함</t>
    <phoneticPr fontId="54" type="noConversion"/>
  </si>
  <si>
    <t>사용자 페이지 내 관리자 페이지 경로가 노출되어 있는 것을 확인함</t>
    <phoneticPr fontId="54" type="noConversion"/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</si>
  <si>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</si>
  <si>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HTTP 프로토콜이 허용되어 있어 로그인 인증 정보 등 사용자 개인정보를 평문으로 전송하는 것을 확인함</t>
    <phoneticPr fontId="54" type="noConversion"/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</si>
  <si>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</si>
  <si>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취약한 HTTPS 암호 알고리즘(CBC-Mode)을 이용하고 있어 Lucky13 취약점을 이용한 암호 해독 공격이 가능할 것으로 판단됨</t>
  </si>
  <si>
    <t>취약한 HTTPS 재협상을 허용하고 있어 MITM 공격에 의하여 암호화된 정보가 노출되거나 DoS 공격에 악용될 위험이 존재함</t>
    <phoneticPr fontId="54" type="noConversion"/>
  </si>
  <si>
    <t>기간이 정해져 있는 조회기능 이용 시 파라미터 변조를 통해 사전에 설정된 조회기간 이상으로 데이터 조회가 가능한 것을 확인함</t>
    <phoneticPr fontId="54" type="noConversion"/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</si>
  <si>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</si>
  <si>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</si>
  <si>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</si>
  <si>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</si>
  <si>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OS변조(루팅/탈옥) 단말기에서 앱 실행 시 OS변조 탐지 로직이 존재하지 않아 제한없이 앱 실행이 가능한 것을 확인함</t>
    <phoneticPr fontId="54" type="noConversion"/>
  </si>
  <si>
    <t>앱 무결성 검증 프로세스가 존재하지 않아 변조된 앱 실행 시 제한없이 실행이 가능한 것을 확인함</t>
    <phoneticPr fontId="54" type="noConversion"/>
  </si>
  <si>
    <t>소스코드 난독화가 미흡하여 앱 복호화 시 주요 함수 및 로직이 평문으로 노출되는 것을 확인함</t>
    <phoneticPr fontId="54" type="noConversion"/>
  </si>
  <si>
    <t>디버깅 탐지 로직이 미흡하여 디버거를 통한 앱 Attach 가 가능한 것을 확인함</t>
    <phoneticPr fontId="54" type="noConversion"/>
  </si>
  <si>
    <t>단말기 내 민감정보(사용자 정보, 시스템 운영정보 등)가 평문으로 저장되는 것을 확인함</t>
    <phoneticPr fontId="54" type="noConversion"/>
  </si>
  <si>
    <t>메모리 덤프 시 로그인 시 입력한 로그인 정보(ID, 비밀번호)가 메모리 내 평문으로 적재되는 것을 확인함</t>
    <phoneticPr fontId="54" type="noConversion"/>
  </si>
  <si>
    <t>화면 내 민감정보가 평문으로 노출되어 화면 캡처 등을 활용한 정보 유출 위험이 존재함</t>
    <phoneticPr fontId="54" type="noConversion"/>
  </si>
  <si>
    <t>소스코드 내 시스템 운영정보(내부 IP, 테스트 경로, 관리자 정보 등)가 평문으로 저장되어 있는 것을 확인함</t>
    <phoneticPr fontId="54" type="noConversion"/>
  </si>
  <si>
    <t>접근 시 인증이 필요한 페이지 Activity 강제 호출 시 인증 단계를 우회하여 화면 호출이 가능한 것을 확인함</t>
    <phoneticPr fontId="54" type="noConversion"/>
  </si>
  <si>
    <t>디버그 로그 내 민감정보가 평문으로 노출되는 것을 확인함</t>
    <phoneticPr fontId="54" type="noConversion"/>
  </si>
  <si>
    <t>개인정보가 포함된 화면에서 백그라운드 전환 시 별도의 보호 로직이 동작하지 않아 개인정보가 담긴 스냅샷 촬영이 가능함</t>
    <phoneticPr fontId="54" type="noConversion"/>
  </si>
  <si>
    <t>팬택씨앤아이</t>
  </si>
  <si>
    <t>팬택씨앤아이</t>
    <phoneticPr fontId="54" type="noConversion"/>
  </si>
  <si>
    <t>고객사</t>
    <phoneticPr fontId="53" type="noConversion"/>
  </si>
  <si>
    <t>dev.okplaza.kr</t>
  </si>
  <si>
    <t>W-129</t>
    <phoneticPr fontId="54" type="noConversion"/>
  </si>
  <si>
    <t>03a29a</t>
  </si>
  <si>
    <t>W-009</t>
    <phoneticPr fontId="54" type="noConversion"/>
  </si>
  <si>
    <t>서버 보안</t>
    <phoneticPr fontId="54" type="noConversion"/>
  </si>
  <si>
    <t>CASE1</t>
    <phoneticPr fontId="54" type="noConversion"/>
  </si>
  <si>
    <t>CASE2</t>
    <phoneticPr fontId="54" type="noConversion"/>
  </si>
  <si>
    <t>응답 헤더 내 서버 버전정보 노출</t>
  </si>
  <si>
    <t>박준태</t>
    <phoneticPr fontId="54" type="noConversion"/>
  </si>
  <si>
    <t>W-011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</si>
  <si>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</si>
  <si>
    <t>세션 만료 시간이 설정되어 있지 않아 동작없이 장시간(1시간이상) 대기 시 세션이 만료되지 않는 것을 확인함</t>
  </si>
  <si>
    <t>W-013</t>
    <phoneticPr fontId="54" type="noConversion"/>
  </si>
  <si>
    <t>로그인</t>
    <phoneticPr fontId="54" type="noConversion"/>
  </si>
  <si>
    <t>로그인/로그아웃 시 세션이 갱신되지 않는 것을 확인함</t>
  </si>
  <si>
    <t>W-233</t>
    <phoneticPr fontId="54" type="noConversion"/>
  </si>
  <si>
    <t>동일 IP주소에서 단시간 내 반복적인 로그인 시도 시 별도의 검증, 차단 로직이 존재하지 않아 크리덴셜 스터핑 공격이 가능할 것으로 판단됨</t>
  </si>
  <si>
    <t>03a13a</t>
  </si>
  <si>
    <t>홈&gt;사용자 상세</t>
  </si>
  <si>
    <t>https://dev.okplaza.kr/organ/userPasswordCheck</t>
  </si>
  <si>
    <t>code</t>
  </si>
  <si>
    <t>응답 패킷 내 응답 값 변조</t>
  </si>
  <si>
    <t>X</t>
  </si>
  <si>
    <t>사용자 상세 페이지 접근 시 비밀번호 검증이 존재하나 검증이 미흡하여 응답 패킷 내 응답 값 변조 시 비밀번호 없이 접근이 가능함</t>
  </si>
  <si>
    <t>https://dev.okplaza.kr/</t>
  </si>
  <si>
    <t>https://dev.okplaza.kr/</t>
    <phoneticPr fontId="54" type="noConversion"/>
  </si>
  <si>
    <t>03a11a</t>
  </si>
  <si>
    <t>홈&gt;검색</t>
    <phoneticPr fontId="54" type="noConversion"/>
  </si>
  <si>
    <t>inputWord</t>
  </si>
  <si>
    <t>https://dev.okplaza.kr/product/list</t>
    <phoneticPr fontId="54" type="noConversion"/>
  </si>
  <si>
    <t>"/&gt;&lt;img src=x onerror=alert('xss');&gt;</t>
    <phoneticPr fontId="54" type="noConversion"/>
  </si>
  <si>
    <t>CASE1</t>
  </si>
  <si>
    <t>Reflected</t>
    <phoneticPr fontId="54" type="noConversion"/>
  </si>
  <si>
    <t>CASE2</t>
  </si>
  <si>
    <t>Stored</t>
    <phoneticPr fontId="54" type="noConversion"/>
  </si>
  <si>
    <t>https://dev.okplaza.kr/board/saveQna</t>
  </si>
  <si>
    <t>홈&gt;고객의 소리(Q&amp;A)&gt;문의</t>
    <phoneticPr fontId="54" type="noConversion"/>
  </si>
  <si>
    <t>title</t>
  </si>
  <si>
    <t>&lt;img src=x onerror=alert('xss');&gt;</t>
    <phoneticPr fontId="54" type="noConversion"/>
  </si>
  <si>
    <t>03a09a</t>
  </si>
  <si>
    <t>홈</t>
    <phoneticPr fontId="54" type="noConversion"/>
  </si>
  <si>
    <t>메인 페이지 접근 시 응답 패킷 내 내부망 IP가 노출됨</t>
    <phoneticPr fontId="54" type="noConversion"/>
  </si>
  <si>
    <t>W-017</t>
    <phoneticPr fontId="54" type="noConversion"/>
  </si>
  <si>
    <t>03a17a</t>
  </si>
  <si>
    <t>홈&gt;운영관리&gt;예산조회&gt;예산이력</t>
    <phoneticPr fontId="54" type="noConversion"/>
  </si>
  <si>
    <t>https://dev.okplaza.kr/manage/budget/pop-budgetHistory-list?page=1&amp;srcIncrease=&amp;histYyyyMm=202506&amp;histBranchid=307638&amp;histGoodType=00&amp;_=1750294033937</t>
  </si>
  <si>
    <t>histBranchid</t>
  </si>
  <si>
    <t>요청 패킷 내 파라미터 값 변조</t>
    <phoneticPr fontId="54" type="noConversion"/>
  </si>
  <si>
    <t>예산이력 조회 시 검증이 미흡하여 요청 패킷 내 파라미터 값 변조 시 타 사업장 예산 조회가 가능함</t>
    <phoneticPr fontId="54" type="noConversion"/>
  </si>
  <si>
    <t>에러 페이지 내 서버 버전정보 노출</t>
  </si>
  <si>
    <t>CASE3</t>
  </si>
  <si>
    <t>내부망 IP 노출</t>
  </si>
  <si>
    <t>-</t>
  </si>
  <si>
    <t>메인 페이지 접근 시 응답 헤더 패킷 내 서버 버전정보(Apache/2.4.63)가 노출됨</t>
  </si>
  <si>
    <t>https://dev.okplaza.kr/%5C</t>
  </si>
  <si>
    <t>요청 URL 내 특수문자(%5C) 삽입 시 400 에러가 발생하며 400 에러 내 서버 버전정보(Apache Tomcat/9.0.100)가 노출됨</t>
  </si>
  <si>
    <t>WEB</t>
  </si>
  <si>
    <t>로그인</t>
  </si>
  <si>
    <t>https://dev.okplaza.kr/loginCheck</t>
  </si>
  <si>
    <t>OKPlaza(일반구매사)</t>
  </si>
  <si>
    <t>OKPlaza(일반구매사)</t>
    <phoneticPr fontId="54" type="noConversion"/>
  </si>
  <si>
    <t>서비스(1차)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</si>
</sst>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47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72" fillId="0" borderId="1" xfId="64290" applyFont="1" applyBorder="1" applyAlignment="1">
      <alignment horizontal="left" vertical="center" indent="1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  <xf numFmtId="0" fontId="62" fillId="0" borderId="1" xfId="0" applyFont="1" applyBorder="1" applyAlignment="1">
      <alignment vertical="center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1014" hidden="1" xr:uid="{00000000-0005-0000-0000-000002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0" xfId="1101" hidden="1" xr:uid="{00000000-0005-0000-0000-00000C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1" xfId="1111" hidden="1" xr:uid="{00000000-0005-0000-0000-000016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2" xfId="1112" hidden="1" xr:uid="{00000000-0005-0000-0000-000020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3" xfId="1104" hidden="1" xr:uid="{00000000-0005-0000-0000-00002A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4" xfId="1114" hidden="1" xr:uid="{00000000-0005-0000-0000-000034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5" xfId="1115" hidden="1" xr:uid="{00000000-0005-0000-0000-00003E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6" xfId="1107" hidden="1" xr:uid="{00000000-0005-0000-0000-000048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7" xfId="1117" hidden="1" xr:uid="{00000000-0005-0000-0000-000052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8" xfId="1118" hidden="1" xr:uid="{00000000-0005-0000-0000-00005C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9" xfId="1110" hidden="1" xr:uid="{00000000-0005-0000-0000-000066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1" xfId="1021" hidden="1" xr:uid="{00000000-0005-0000-0000-000070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0" xfId="1120" hidden="1" xr:uid="{00000000-0005-0000-0000-00007A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1" xfId="1121" hidden="1" xr:uid="{00000000-0005-0000-0000-000084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2" xfId="1113" hidden="1" xr:uid="{00000000-0005-0000-0000-00008E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3" xfId="1123" hidden="1" xr:uid="{00000000-0005-0000-0000-000098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4" xfId="1124" hidden="1" xr:uid="{00000000-0005-0000-0000-0000A2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5" xfId="1116" hidden="1" xr:uid="{00000000-0005-0000-0000-0000AC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6" xfId="1126" hidden="1" xr:uid="{00000000-0005-0000-0000-0000B6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7" xfId="1127" hidden="1" xr:uid="{00000000-0005-0000-0000-0000C0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8" xfId="1119" hidden="1" xr:uid="{00000000-0005-0000-0000-0000CA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9" xfId="1128" hidden="1" xr:uid="{00000000-0005-0000-0000-0000D4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2" xfId="1022" hidden="1" xr:uid="{00000000-0005-0000-0000-0000DE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0" xfId="1129" hidden="1" xr:uid="{00000000-0005-0000-0000-0000E8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1" xfId="1122" hidden="1" xr:uid="{00000000-0005-0000-0000-0000F2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2" xfId="1130" hidden="1" xr:uid="{00000000-0005-0000-0000-0000FCF4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3" xfId="1131" hidden="1" xr:uid="{00000000-0005-0000-0000-000006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4" xfId="1125" hidden="1" xr:uid="{00000000-0005-0000-0000-000010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5" xfId="1132" hidden="1" xr:uid="{00000000-0005-0000-0000-00001A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6" xfId="1133" hidden="1" xr:uid="{00000000-0005-0000-0000-000024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7" xfId="1137" hidden="1" xr:uid="{00000000-0005-0000-0000-00002E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8" xfId="1138" hidden="1" xr:uid="{00000000-0005-0000-0000-000038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9" xfId="1139" hidden="1" xr:uid="{00000000-0005-0000-0000-000042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3" xfId="1015" hidden="1" xr:uid="{00000000-0005-0000-0000-00004C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0" xfId="1134" hidden="1" xr:uid="{00000000-0005-0000-0000-000056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1" xfId="1141" hidden="1" xr:uid="{00000000-0005-0000-0000-000060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2" xfId="1142" hidden="1" xr:uid="{00000000-0005-0000-0000-00006A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3" xfId="1135" hidden="1" xr:uid="{00000000-0005-0000-0000-000074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4" xfId="1144" hidden="1" xr:uid="{00000000-0005-0000-0000-00007E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5" xfId="1145" hidden="1" xr:uid="{00000000-0005-0000-0000-000088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6" xfId="1136" hidden="1" xr:uid="{00000000-0005-0000-0000-000092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7" xfId="1147" hidden="1" xr:uid="{00000000-0005-0000-0000-00009C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8" xfId="1148" hidden="1" xr:uid="{00000000-0005-0000-0000-0000A6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9" xfId="1140" hidden="1" xr:uid="{00000000-0005-0000-0000-0000B0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4" xfId="1024" hidden="1" xr:uid="{00000000-0005-0000-0000-0000BA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0" xfId="1150" hidden="1" xr:uid="{00000000-0005-0000-0000-0000C4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1" xfId="1151" hidden="1" xr:uid="{00000000-0005-0000-0000-0000CE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2" xfId="1143" hidden="1" xr:uid="{00000000-0005-0000-0000-0000D8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3" xfId="1153" hidden="1" xr:uid="{00000000-0005-0000-0000-0000E2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4" xfId="1154" hidden="1" xr:uid="{00000000-0005-0000-0000-0000EC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5" xfId="1146" hidden="1" xr:uid="{00000000-0005-0000-0000-0000F6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6" xfId="1156" hidden="1" xr:uid="{00000000-0005-0000-0000-000000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7" xfId="1157" hidden="1" xr:uid="{00000000-0005-0000-0000-00000A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8" xfId="1149" hidden="1" xr:uid="{00000000-0005-0000-0000-000014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9" xfId="1159" hidden="1" xr:uid="{00000000-0005-0000-0000-00001E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5" xfId="1025" hidden="1" xr:uid="{00000000-0005-0000-0000-000028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0" xfId="1160" hidden="1" xr:uid="{00000000-0005-0000-0000-000032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1" xfId="1152" hidden="1" xr:uid="{00000000-0005-0000-0000-00003C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2" xfId="1162" hidden="1" xr:uid="{00000000-0005-0000-0000-000046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3" xfId="1163" hidden="1" xr:uid="{00000000-0005-0000-0000-000050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4" xfId="1155" hidden="1" xr:uid="{00000000-0005-0000-0000-00005A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5" xfId="1165" hidden="1" xr:uid="{00000000-0005-0000-0000-000064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6" xfId="1166" hidden="1" xr:uid="{00000000-0005-0000-0000-00006E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7" xfId="1158" hidden="1" xr:uid="{00000000-0005-0000-0000-000078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8" xfId="1168" hidden="1" xr:uid="{00000000-0005-0000-0000-000082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9" xfId="1169" hidden="1" xr:uid="{00000000-0005-0000-0000-00008C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6" xfId="1016" hidden="1" xr:uid="{00000000-0005-0000-0000-000096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0" xfId="1161" hidden="1" xr:uid="{00000000-0005-0000-0000-0000A0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1" xfId="1171" hidden="1" xr:uid="{00000000-0005-0000-0000-0000AA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2" xfId="1172" hidden="1" xr:uid="{00000000-0005-0000-0000-0000B4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3" xfId="1164" hidden="1" xr:uid="{00000000-0005-0000-0000-0000BE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4" xfId="1174" hidden="1" xr:uid="{00000000-0005-0000-0000-0000C8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5" xfId="1175" hidden="1" xr:uid="{00000000-0005-0000-0000-0000D2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6" xfId="1167" hidden="1" xr:uid="{00000000-0005-0000-0000-0000DC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7" xfId="1177" hidden="1" xr:uid="{00000000-0005-0000-0000-0000E6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8" xfId="1178" hidden="1" xr:uid="{00000000-0005-0000-0000-0000F0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9" xfId="1170" hidden="1" xr:uid="{00000000-0005-0000-0000-0000FAF6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7" xfId="1027" hidden="1" xr:uid="{00000000-0005-0000-0000-000004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0" xfId="1179" hidden="1" xr:uid="{00000000-0005-0000-0000-00000E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1" xfId="1180" hidden="1" xr:uid="{00000000-0005-0000-0000-000018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2" xfId="1173" hidden="1" xr:uid="{00000000-0005-0000-0000-000022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3" xfId="1181" hidden="1" xr:uid="{00000000-0005-0000-0000-00002C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4" xfId="1182" hidden="1" xr:uid="{00000000-0005-0000-0000-000036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5" xfId="1176" hidden="1" xr:uid="{00000000-0005-0000-0000-000040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6" xfId="1183" hidden="1" xr:uid="{00000000-0005-0000-0000-00004A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7" xfId="1184" hidden="1" xr:uid="{00000000-0005-0000-0000-000054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33665" hidden="1" xr:uid="{00000000-0005-0000-0000-000057F70000}"/>
    <cellStyle name="하이퍼링크 18" xfId="1028" hidden="1" xr:uid="{00000000-0005-0000-0000-000058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9" xfId="1020" hidden="1" xr:uid="{00000000-0005-0000-0000-000062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2" xfId="48" hidden="1" xr:uid="{00000000-0005-0000-0000-00006C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39803" xr:uid="{00000000-0005-0000-0000-000088F70000}"/>
    <cellStyle name="하이퍼링크 20" xfId="1029" hidden="1" xr:uid="{00000000-0005-0000-0000-000089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1" xfId="1030" hidden="1" xr:uid="{00000000-0005-0000-0000-000093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2" xfId="1023" hidden="1" xr:uid="{00000000-0005-0000-0000-00009D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3" xfId="1031" hidden="1" xr:uid="{00000000-0005-0000-0000-0000A7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4" xfId="1032" hidden="1" xr:uid="{00000000-0005-0000-0000-0000B1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5" xfId="1026" hidden="1" xr:uid="{00000000-0005-0000-0000-0000BB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6" xfId="1033" hidden="1" xr:uid="{00000000-0005-0000-0000-0000C5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7" xfId="1034" hidden="1" xr:uid="{00000000-0005-0000-0000-0000CF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8" xfId="1038" hidden="1" xr:uid="{00000000-0005-0000-0000-0000D9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9" xfId="1039" hidden="1" xr:uid="{00000000-0005-0000-0000-0000E3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3" xfId="49" hidden="1" xr:uid="{00000000-0005-0000-0000-0000ED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39810" xr:uid="{00000000-0005-0000-0000-000009F80000}"/>
    <cellStyle name="하이퍼링크 30" xfId="1040" hidden="1" xr:uid="{00000000-0005-0000-0000-00000A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1" xfId="1035" hidden="1" xr:uid="{00000000-0005-0000-0000-000014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2" xfId="1042" hidden="1" xr:uid="{00000000-0005-0000-0000-00001E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3" xfId="1043" hidden="1" xr:uid="{00000000-0005-0000-0000-000028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4" xfId="1036" hidden="1" xr:uid="{00000000-0005-0000-0000-000032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5" xfId="1045" hidden="1" xr:uid="{00000000-0005-0000-0000-00003C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6" xfId="1046" hidden="1" xr:uid="{00000000-0005-0000-0000-000046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7" xfId="1037" hidden="1" xr:uid="{00000000-0005-0000-0000-000050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8" xfId="1047" hidden="1" xr:uid="{00000000-0005-0000-0000-00005A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9" xfId="1048" hidden="1" xr:uid="{00000000-0005-0000-0000-000064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4" xfId="50" hidden="1" xr:uid="{00000000-0005-0000-0000-00006E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39807" xr:uid="{00000000-0005-0000-0000-00008AF80000}"/>
    <cellStyle name="하이퍼링크 40" xfId="1041" hidden="1" xr:uid="{00000000-0005-0000-0000-00008B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1" xfId="1049" hidden="1" xr:uid="{00000000-0005-0000-0000-000095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2" xfId="1050" hidden="1" xr:uid="{00000000-0005-0000-0000-00009F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3" xfId="1044" hidden="1" xr:uid="{00000000-0005-0000-0000-0000A9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4" xfId="1051" hidden="1" xr:uid="{00000000-0005-0000-0000-0000B3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5" xfId="1052" hidden="1" xr:uid="{00000000-0005-0000-0000-0000BD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6" xfId="1054" hidden="1" xr:uid="{00000000-0005-0000-0000-0000C7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7" xfId="1055" hidden="1" xr:uid="{00000000-0005-0000-0000-0000D1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8" xfId="1056" hidden="1" xr:uid="{00000000-0005-0000-0000-0000DB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9" xfId="1053" hidden="1" xr:uid="{00000000-0005-0000-0000-0000E5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5" xfId="51" hidden="1" xr:uid="{00000000-0005-0000-0000-0000EF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39804" xr:uid="{00000000-0005-0000-0000-00000BF90000}"/>
    <cellStyle name="하이퍼링크 50" xfId="1058" hidden="1" xr:uid="{00000000-0005-0000-0000-00000C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1" xfId="1059" hidden="1" xr:uid="{00000000-0005-0000-0000-000016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2" xfId="1060" hidden="1" xr:uid="{00000000-0005-0000-0000-000020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3" xfId="1061" hidden="1" xr:uid="{00000000-0005-0000-0000-00002A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4" xfId="1062" hidden="1" xr:uid="{00000000-0005-0000-0000-000034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5" xfId="1057" hidden="1" xr:uid="{00000000-0005-0000-0000-00003E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6" xfId="1063" hidden="1" xr:uid="{00000000-0005-0000-0000-000048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7" xfId="1064" hidden="1" xr:uid="{00000000-0005-0000-0000-000052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8" xfId="1067" hidden="1" xr:uid="{00000000-0005-0000-0000-00005C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9" xfId="1068" hidden="1" xr:uid="{00000000-0005-0000-0000-000066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6" xfId="1186" xr:uid="{00000000-0005-0000-0000-000070F90000}"/>
    <cellStyle name="하이퍼링크 60" xfId="1069" hidden="1" xr:uid="{00000000-0005-0000-0000-000071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1" xfId="1071" hidden="1" xr:uid="{00000000-0005-0000-0000-00007B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2" xfId="1072" hidden="1" xr:uid="{00000000-0005-0000-0000-000085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3" xfId="1073" hidden="1" xr:uid="{00000000-0005-0000-0000-00008F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4" xfId="1066" hidden="1" xr:uid="{00000000-0005-0000-0000-000099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5" xfId="1075" hidden="1" xr:uid="{00000000-0005-0000-0000-0000A3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6" xfId="1076" hidden="1" xr:uid="{00000000-0005-0000-0000-0000AD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7" xfId="1070" hidden="1" xr:uid="{00000000-0005-0000-0000-0000B7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8" xfId="1077" hidden="1" xr:uid="{00000000-0005-0000-0000-0000C1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9" xfId="1078" hidden="1" xr:uid="{00000000-0005-0000-0000-0000CB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7" xfId="1017" hidden="1" xr:uid="{00000000-0005-0000-0000-0000D5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39805" xr:uid="{00000000-0005-0000-0000-0000E1F90000}"/>
    <cellStyle name="하이퍼링크 70" xfId="1065" hidden="1" xr:uid="{00000000-0005-0000-0000-0000E2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1" xfId="1079" hidden="1" xr:uid="{00000000-0005-0000-0000-0000EC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2" xfId="1080" hidden="1" xr:uid="{00000000-0005-0000-0000-0000F6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3" xfId="1074" hidden="1" xr:uid="{00000000-0005-0000-0000-000000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4" xfId="1081" hidden="1" xr:uid="{00000000-0005-0000-0000-00000A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5" xfId="1082" hidden="1" xr:uid="{00000000-0005-0000-0000-000014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6" xfId="1083" hidden="1" xr:uid="{00000000-0005-0000-0000-00001E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7" xfId="1084" hidden="1" xr:uid="{00000000-0005-0000-0000-000028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8" xfId="1085" hidden="1" xr:uid="{00000000-0005-0000-0000-000032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9" xfId="1088" hidden="1" xr:uid="{00000000-0005-0000-0000-00003C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8" xfId="1018" hidden="1" xr:uid="{00000000-0005-0000-0000-000046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0" xfId="1089" hidden="1" xr:uid="{00000000-0005-0000-0000-000050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1" xfId="1090" hidden="1" xr:uid="{00000000-0005-0000-0000-00005A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2" xfId="1092" hidden="1" xr:uid="{00000000-0005-0000-0000-000064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3" xfId="1093" hidden="1" xr:uid="{00000000-0005-0000-0000-00006E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4" xfId="1094" hidden="1" xr:uid="{00000000-0005-0000-0000-000078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5" xfId="1087" hidden="1" xr:uid="{00000000-0005-0000-0000-000082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6" xfId="1096" hidden="1" xr:uid="{00000000-0005-0000-0000-00008C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7" xfId="1097" hidden="1" xr:uid="{00000000-0005-0000-0000-000096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8" xfId="1091" hidden="1" xr:uid="{00000000-0005-0000-0000-0000A0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9" xfId="1099" hidden="1" xr:uid="{00000000-0005-0000-0000-0000AA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9" xfId="1019" hidden="1" xr:uid="{00000000-0005-0000-0000-0000B4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0" xfId="1100" hidden="1" xr:uid="{00000000-0005-0000-0000-0000BE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1" xfId="1086" hidden="1" xr:uid="{00000000-0005-0000-0000-0000C8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2" xfId="1102" hidden="1" xr:uid="{00000000-0005-0000-0000-0000D2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3" xfId="1103" hidden="1" xr:uid="{00000000-0005-0000-0000-0000DC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4" xfId="1095" hidden="1" xr:uid="{00000000-0005-0000-0000-0000E6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5" xfId="1105" hidden="1" xr:uid="{00000000-0005-0000-0000-0000F0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6" xfId="1106" hidden="1" xr:uid="{00000000-0005-0000-0000-0000FAFA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7" xfId="1098" hidden="1" xr:uid="{00000000-0005-0000-0000-000004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8" xfId="1108" hidden="1" xr:uid="{00000000-0005-0000-0000-00000E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9" xfId="1109" hidden="1" xr:uid="{00000000-0005-0000-0000-000018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</cellStyles>
  <dxfs count="42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24"/>
      <tableStyleElement type="headerRow" dxfId="423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0.%20&#50629;&#47924;\01.%20&#47784;&#51032;&#54644;&#53433;\02.%20&#49324;&#51204;%20&#48372;&#50504;&#49457;%20&#44160;&#53664;\03.%202025\&#54060;&#53469;&#50472;&#50644;&#50500;&#51060;\OKPlaza(&#44277;&#44553;&#49324;)\&#54060;&#53469;&#50472;&#50532;&#50500;&#51060;_OKPlaza(&#44277;&#44553;&#49324;)_&#47784;&#51032;&#54644;&#53433;_&#51652;&#45800;%20&#54788;&#54889;_250620_v1.0.xlsm" TargetMode="External"/><Relationship Id="rId1" Type="http://schemas.openxmlformats.org/officeDocument/2006/relationships/externalLinkPath" Target="/00.%20&#50629;&#47924;/01.%20&#47784;&#51032;&#54644;&#53433;/02.%20&#49324;&#51204;%20&#48372;&#50504;&#49457;%20&#44160;&#53664;/03.%202025/&#54060;&#53469;&#50472;&#50644;&#50500;&#51060;/OKPlaza(&#44277;&#44553;&#49324;)/&#54060;&#53469;&#50472;&#50532;&#50500;&#51060;_OKPlaza(&#44277;&#44553;&#49324;)_&#47784;&#51032;&#54644;&#53433;_&#51652;&#45800;%20&#54788;&#54889;_250620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01. 대상정보"/>
      <sheetName val="02. 취약점 상세"/>
      <sheetName val="TMPL_취약점 상세"/>
      <sheetName val="04. 전자금융 체크리스트(수정x)"/>
      <sheetName val="03. 범용 체크리스트(수정X)"/>
    </sheetNames>
    <sheetDataSet>
      <sheetData sheetId="0"/>
      <sheetData sheetId="1"/>
      <sheetData sheetId="2"/>
      <sheetData sheetId="3"/>
      <sheetData sheetId="4">
        <row r="2">
          <cell r="B2" t="str">
            <v>코드</v>
          </cell>
          <cell r="C2" t="str">
            <v>진단항목</v>
          </cell>
          <cell r="D2" t="str">
            <v>점검 목적</v>
          </cell>
          <cell r="E2" t="str">
            <v>등급</v>
          </cell>
        </row>
        <row r="3">
          <cell r="B3" t="str">
            <v>W-001</v>
          </cell>
          <cell r="C3" t="str">
            <v>버퍼 오버플로우</v>
          </cell>
          <cell r="D3" t="str">
            <v>어플리케이션에서 파라미터 입력 값에 대한 적절성을 점검하여 비정상적 오류 발생을 차단</v>
          </cell>
          <cell r="E3" t="str">
            <v>상</v>
          </cell>
        </row>
        <row r="4">
          <cell r="B4" t="str">
            <v>W-002</v>
          </cell>
          <cell r="C4" t="str">
            <v>포맷스트링</v>
          </cell>
          <cell r="D4" t="str">
            <v>포맷스트링 버그로 인한 시스템 권한 탈취의 위험 방지</v>
          </cell>
          <cell r="E4" t="str">
            <v>상</v>
          </cell>
        </row>
        <row r="5">
          <cell r="B5" t="str">
            <v>W-003</v>
          </cell>
          <cell r="C5" t="str">
            <v>LDAP 인젝션</v>
          </cell>
          <cell r="D5" t="str">
            <v>취약한 시스템에 신뢰할 수 없는 LDAP코드 삽입 공격을 통한 비인가자의 악의적인 행위를 차단</v>
          </cell>
          <cell r="E5" t="str">
            <v>상</v>
          </cell>
        </row>
        <row r="6">
          <cell r="B6" t="str">
            <v>W-004</v>
          </cell>
          <cell r="C6" t="str">
            <v>운영체제 명령실행</v>
          </cell>
          <cell r="D6" t="str">
            <v>적절한 검증절차를 거치지 않은 사용자 입력값에 의해 의도하지 않은 시스템 명령어 실행 방지</v>
          </cell>
          <cell r="E6" t="str">
            <v>상</v>
          </cell>
        </row>
        <row r="7">
          <cell r="B7" t="str">
            <v>W-005</v>
          </cell>
          <cell r="C7" t="str">
            <v>SQL 인젝션</v>
          </cell>
          <cell r="D7" t="str">
            <v>대화형 웹 사이트에 비정상적인 사용자 입력값 허용을 차단하여 악의적인 데이터베이스 접근 및 조작 방지</v>
          </cell>
          <cell r="E7" t="str">
            <v>상</v>
          </cell>
        </row>
        <row r="8">
          <cell r="B8" t="str">
            <v>W-006</v>
          </cell>
          <cell r="C8" t="str">
            <v>SSI 인젝션</v>
          </cell>
          <cell r="D8" t="str">
            <v>입력값 검증 절차를 마련하여 악의적인 파일을 include 못하도록 차단</v>
          </cell>
          <cell r="E8" t="str">
            <v>상</v>
          </cell>
        </row>
        <row r="9">
          <cell r="B9" t="str">
            <v>W-007</v>
          </cell>
          <cell r="C9" t="str">
            <v>XPath 인젝션</v>
          </cell>
          <cell r="D9" t="str">
            <v>XPath 쿼리에 대한 적절한 필터링을 적용하여 웹사이트의 로직 손상 및 특정 데이터 추출 차단</v>
          </cell>
          <cell r="E9" t="str">
            <v>상</v>
          </cell>
        </row>
        <row r="10">
          <cell r="B10" t="str">
            <v>W-008</v>
          </cell>
          <cell r="C10" t="str">
            <v>디렉터리 인덱싱</v>
          </cell>
          <cell r="D10" t="str">
            <v>디렉터리 내 불필요한 파일정보의 노출을 차단</v>
          </cell>
          <cell r="E10" t="str">
            <v>하</v>
          </cell>
        </row>
        <row r="11">
          <cell r="B11" t="str">
            <v>W-009</v>
          </cell>
          <cell r="C11" t="str">
            <v>정보 누출</v>
          </cell>
          <cell r="D11" t="str">
            <v>에러페이지 내 2차 공격에 활용될 수 있는 불필요한 정보 노출 차단(시스템정보, 절대경로정보, 컴파일 소스정보 등)</v>
          </cell>
          <cell r="E11" t="str">
            <v>하</v>
          </cell>
        </row>
        <row r="12">
          <cell r="B12" t="str">
            <v>W-010</v>
          </cell>
          <cell r="C12" t="str">
            <v>악성 콘텐츠</v>
          </cell>
          <cell r="D12" t="str">
            <v>사이트 내 악의적인 콘텐츠 삽입 및 실행 방지</v>
          </cell>
          <cell r="E12" t="str">
            <v>중</v>
          </cell>
        </row>
        <row r="13">
          <cell r="B13" t="str">
            <v>W-011</v>
          </cell>
          <cell r="C13" t="str">
            <v>크로스사이트 스크립팅(XSS)</v>
          </cell>
          <cell r="D13" t="str">
            <v>웹 페이지 내 크로스사이트 스크립팅 취약점을 제거하여 악성스크립트의 실행 차단</v>
          </cell>
          <cell r="E13" t="str">
            <v>중</v>
          </cell>
        </row>
        <row r="14">
          <cell r="B14" t="str">
            <v>W-012</v>
          </cell>
          <cell r="C14" t="str">
            <v>약한 문자열 강도</v>
          </cell>
          <cell r="D14" t="str">
            <v>유추 가능한 취약한 문자열 사용을 제한하여 계정 및 패스워드 추측 공격 방지</v>
          </cell>
          <cell r="E14" t="str">
            <v>중</v>
          </cell>
        </row>
        <row r="15">
          <cell r="B15" t="str">
            <v>W-013</v>
          </cell>
          <cell r="C15" t="str">
            <v>불충분한 인증</v>
          </cell>
          <cell r="D15" t="str">
            <v>중요 페이지에 추가 인증으로 접근을 강화하여 불필요한 정보의 노출 및 변조 차단</v>
          </cell>
          <cell r="E15" t="str">
            <v>중</v>
          </cell>
        </row>
        <row r="16">
          <cell r="B16" t="str">
            <v>W-014</v>
          </cell>
          <cell r="C16" t="str">
            <v>취약한 패스워드 복구</v>
          </cell>
          <cell r="D16" t="str">
            <v>비안가자를 통한 취약한 사용자 패스워드 획득 및 변경을 방지</v>
          </cell>
          <cell r="E16" t="str">
            <v>하</v>
          </cell>
        </row>
        <row r="17">
          <cell r="B17" t="str">
            <v>W-015</v>
          </cell>
          <cell r="C17" t="str">
            <v>크로스사이트 리퀘스트변조(CSRF)</v>
          </cell>
          <cell r="D17" t="str">
            <v>사용자의 입력값에 대한 필터링 및 인증에 대한 유효성을 검증하여 인증 요청에 대한 변조 방지</v>
          </cell>
          <cell r="E17" t="str">
            <v>중</v>
          </cell>
        </row>
        <row r="18">
          <cell r="B18" t="str">
            <v>W-016</v>
          </cell>
          <cell r="C18" t="str">
            <v>세션 예측</v>
          </cell>
          <cell r="D18" t="str">
            <v>사용자의 세션ID를 추측 불가능하도록 난수로 생성하여 공격자의 불법적인 접근 차단</v>
          </cell>
          <cell r="E18" t="str">
            <v>중</v>
          </cell>
        </row>
        <row r="19">
          <cell r="B19" t="str">
            <v>W-017</v>
          </cell>
          <cell r="C19" t="str">
            <v>불충분한 인가</v>
          </cell>
          <cell r="D19" t="str">
            <v>접근 권한에 대한 검증 로직을 구현하여 다른 사용자가 민감한 정보나 인증이 필요한 페이지의 접근 차단</v>
          </cell>
          <cell r="E19" t="str">
            <v>중</v>
          </cell>
        </row>
        <row r="20">
          <cell r="B20" t="str">
            <v>W-018</v>
          </cell>
          <cell r="C20" t="str">
            <v>불충분한 세션만료</v>
          </cell>
          <cell r="D20" t="str">
            <v>세션 타임아웃 기능을 구현하여 공격자가 만료되지 않은 세션 활용 방지</v>
          </cell>
          <cell r="E20" t="str">
            <v>하</v>
          </cell>
        </row>
        <row r="21">
          <cell r="B21" t="str">
            <v>W-019</v>
          </cell>
          <cell r="C21" t="str">
            <v>세션고정</v>
          </cell>
          <cell r="D21" t="str">
            <v>로그인 시 예측 불가능한 신규 세션ID 발행하여 세션ID 고정 사용 방지</v>
          </cell>
          <cell r="E21" t="str">
            <v>하</v>
          </cell>
        </row>
        <row r="22">
          <cell r="B22" t="str">
            <v>W-020</v>
          </cell>
          <cell r="C22" t="str">
            <v>프로세스 검증 누락</v>
          </cell>
          <cell r="D22" t="str">
            <v>비인가자가 하위URL에 직접 접근, 스크립트 조작 등의 방법으로 중요페이지에 접근하는 것을 차단</v>
          </cell>
          <cell r="E22" t="str">
            <v>중</v>
          </cell>
        </row>
        <row r="23">
          <cell r="B23" t="str">
            <v>W-021</v>
          </cell>
          <cell r="C23" t="str">
            <v>파일 업로드</v>
          </cell>
          <cell r="D23" t="str">
            <v>서버사이드스크립트 파일 업로드 방지 및 실행 차단</v>
          </cell>
          <cell r="E23" t="str">
            <v>상</v>
          </cell>
        </row>
        <row r="24">
          <cell r="B24" t="str">
            <v>W-022</v>
          </cell>
          <cell r="C24" t="str">
            <v>파일 다운로드</v>
          </cell>
          <cell r="D24" t="str">
            <v>파일이 저장된 디렉터리 이외의 접근 및 임의의 위치에 있는 파일 열람, 다운받는 것 방지</v>
          </cell>
          <cell r="E24" t="str">
            <v>상</v>
          </cell>
        </row>
        <row r="25">
          <cell r="B25" t="str">
            <v>W-023</v>
          </cell>
          <cell r="C25" t="str">
            <v>관리자페이지 노출</v>
          </cell>
          <cell r="D25" t="str">
            <v>비인가자의 관리자 메뉴 접근 방지</v>
          </cell>
          <cell r="E25" t="str">
            <v>하</v>
          </cell>
        </row>
        <row r="26">
          <cell r="B26" t="str">
            <v>W-024</v>
          </cell>
          <cell r="C26" t="str">
            <v>경로 추적</v>
          </cell>
          <cell r="D26" t="str">
            <v>웹 서버/어플리케이션의 중요한 파일과 데이터의 접근 및 실행 방지</v>
          </cell>
          <cell r="E26" t="str">
            <v>상</v>
          </cell>
        </row>
        <row r="27">
          <cell r="B27" t="str">
            <v>W-025</v>
          </cell>
          <cell r="C27" t="str">
            <v>위치 공개</v>
          </cell>
          <cell r="D27" t="str">
            <v>폴더 및 파일의 위치를 예측하여 접근 및 정보 획득 방지</v>
          </cell>
          <cell r="E27" t="str">
            <v>하</v>
          </cell>
        </row>
        <row r="28">
          <cell r="B28" t="str">
            <v>W-026</v>
          </cell>
          <cell r="C28" t="str">
            <v>데이터 평문 전송</v>
          </cell>
          <cell r="D28" t="str">
            <v>서버와 클라이언트간 평문으로 전송되는 데이터의 유출 방지</v>
          </cell>
          <cell r="E28" t="str">
            <v>중</v>
          </cell>
        </row>
        <row r="29">
          <cell r="B29" t="str">
            <v>W-027</v>
          </cell>
          <cell r="C29" t="str">
            <v>쿠키 변조</v>
          </cell>
          <cell r="D29" t="str">
            <v>쿠키 인젝션과 같은 쿠키값 변조를 통한 위장 및 권한 변경을 방지</v>
          </cell>
          <cell r="E29" t="str">
            <v>중</v>
          </cell>
        </row>
        <row r="30">
          <cell r="B30" t="str">
            <v>W-128</v>
          </cell>
          <cell r="C30" t="str">
            <v>취약한 HTTPS 프로토콜 이용</v>
          </cell>
          <cell r="D30" t="str">
            <v>취약한 버전의 암호 프로토콜 사용으로 인한 암호화 통신 내용 유출 방지</v>
          </cell>
          <cell r="E30" t="str">
            <v>하</v>
          </cell>
        </row>
        <row r="31">
          <cell r="B31" t="str">
            <v>W-129</v>
          </cell>
          <cell r="C31" t="str">
            <v>취약한 HTTPS 암호 알고리즘 이용</v>
          </cell>
          <cell r="D31" t="str">
            <v>보안강도가 낮은 암호 알고리즘 사용으로 인한 암호화 통신 내용 유출 방지</v>
          </cell>
          <cell r="E31" t="str">
            <v>하</v>
          </cell>
        </row>
        <row r="32">
          <cell r="B32" t="str">
            <v>W-130</v>
          </cell>
          <cell r="C32" t="str">
            <v>취약한 HTTPS 컴포넌트 사용</v>
          </cell>
          <cell r="D32" t="str">
            <v>취약한 HTTPS 확장 모듈 사용으로 인한 암호화 통신 내용 유출 또는 변조 방지</v>
          </cell>
          <cell r="E32" t="str">
            <v>하</v>
          </cell>
        </row>
        <row r="33">
          <cell r="B33" t="str">
            <v>W-131</v>
          </cell>
          <cell r="C33" t="str">
            <v>취약한 HTTPS 재협상 허용</v>
          </cell>
          <cell r="D33" t="str">
            <v>HTTPS 재협상 허용으로 인한 암호화 통신 내용 유출 방지</v>
          </cell>
          <cell r="E33" t="str">
            <v>하</v>
          </cell>
        </row>
        <row r="34">
          <cell r="B34" t="str">
            <v>W-132</v>
          </cell>
          <cell r="C34" t="str">
            <v>사전에 정한 조회기간 이상으로 거래내역 조회가능 여부</v>
          </cell>
          <cell r="D34" t="str">
            <v>정한 기간 이상의 조회될 경우 과도한 내역 조회가 이루어져 노출 불필요한 정보가 유출되거나 서버에 부하가 발생할 수 있다.</v>
          </cell>
          <cell r="E34" t="str">
            <v>하</v>
          </cell>
        </row>
        <row r="35">
          <cell r="B35" t="str">
            <v>W-233</v>
          </cell>
          <cell r="C35" t="str">
            <v>크리덴셜 스터핑</v>
          </cell>
          <cell r="D35" t="str">
            <v>유출된 크리덴셜을 사용하여 단기간 내 대량의 사용자 계정정보 탈취 방지</v>
          </cell>
          <cell r="E35" t="str">
            <v>하</v>
          </cell>
        </row>
        <row r="36">
          <cell r="B36" t="str">
            <v>W-134</v>
          </cell>
          <cell r="C36" t="str">
            <v>불필요한 웹 메서드 허용</v>
          </cell>
          <cell r="D36" t="str">
            <v>GET, POST이외의 불필요한 Method를 통해 임의의 파일 업로드 또는 삭제 등의 위협 방지</v>
          </cell>
          <cell r="E36" t="str">
            <v>하</v>
          </cell>
        </row>
        <row r="37">
          <cell r="B37" t="str">
            <v>W-135</v>
          </cell>
          <cell r="C37" t="str">
            <v>비밀번호 오류횟수 제한기능 제공 여부</v>
          </cell>
          <cell r="D37" t="str">
            <v>비밀번호 오류 횟수 체크하여 무차별 대입 공격 방지</v>
          </cell>
          <cell r="E37" t="str">
            <v>중</v>
          </cell>
        </row>
        <row r="38">
          <cell r="B38" t="str">
            <v>W-136</v>
          </cell>
          <cell r="C38" t="str">
            <v>서버 사이드 요청 위조(SSRF)</v>
          </cell>
          <cell r="D38" t="str">
            <v>공격자가 직접 접근할 수 없는 네트워크 대역(내부망 등)에 위치한 서버에서 변조된 요청 메시지에 대해 응답값이 반환되는지 여부 확인</v>
          </cell>
          <cell r="E38" t="str">
            <v>중</v>
          </cell>
        </row>
        <row r="39">
          <cell r="B39" t="str">
            <v>W-037</v>
          </cell>
          <cell r="C39" t="str">
            <v>자동화 공격</v>
          </cell>
          <cell r="E39" t="str">
            <v>하</v>
          </cell>
        </row>
        <row r="40">
          <cell r="B40" t="str">
            <v>M-101</v>
          </cell>
          <cell r="C40" t="str">
            <v>OS변조 탐지</v>
          </cell>
          <cell r="D40" t="str">
            <v>권한이 상승된 OS변조 단말 이용으로 인한 보안 위협 방지</v>
          </cell>
          <cell r="E40" t="str">
            <v>중</v>
          </cell>
        </row>
        <row r="41">
          <cell r="B41" t="str">
            <v>M-102</v>
          </cell>
          <cell r="C41" t="str">
            <v>프로그램 무결성 검증</v>
          </cell>
          <cell r="D41" t="str">
            <v>변조된 프로그램이 정상 실행 될 경우, 악성코드가 포함되어 재배포 되는 등의 보안 위협 방지</v>
          </cell>
          <cell r="E41" t="str">
            <v>권고</v>
          </cell>
        </row>
        <row r="42">
          <cell r="B42" t="str">
            <v>M-103</v>
          </cell>
          <cell r="C42" t="str">
            <v>소스코드 난독화</v>
          </cell>
          <cell r="D42" t="str">
            <v>디컴파일된 소스코드의 프로그램의 구조 및 코드 흐름 파악을 통한 앱분석 방지</v>
          </cell>
          <cell r="E42" t="str">
            <v>하</v>
          </cell>
        </row>
        <row r="43">
          <cell r="B43" t="str">
            <v>M-104</v>
          </cell>
          <cell r="C43" t="str">
            <v>디버깅 탐지</v>
          </cell>
          <cell r="D43" t="str">
            <v>동적 디버깅을 통한 프로그램 흐름 파악을 통한 앱 분석 방지</v>
          </cell>
          <cell r="E43" t="str">
            <v>하</v>
          </cell>
        </row>
        <row r="44">
          <cell r="B44" t="str">
            <v>M-105</v>
          </cell>
          <cell r="C44" t="str">
            <v>단말기 내 중요정보 저장</v>
          </cell>
          <cell r="D44" t="str">
            <v>어플리케이션 사용 폴더 및 외부 저장소에 존재하는 파일 내 중요정보 저장을 통한 정보 유출 방지</v>
          </cell>
          <cell r="E44" t="str">
            <v>중</v>
          </cell>
        </row>
        <row r="45">
          <cell r="B45" t="str">
            <v>M-106</v>
          </cell>
          <cell r="C45" t="str">
            <v>메모리 내 중요정보 노출</v>
          </cell>
          <cell r="D45" t="str">
            <v>이용자 단말기 메모리 영역에서 이용자 중요정보의 평문노출 방지</v>
          </cell>
          <cell r="E45" t="str">
            <v>권고</v>
          </cell>
        </row>
        <row r="46">
          <cell r="B46" t="str">
            <v>M-107</v>
          </cell>
          <cell r="C46" t="str">
            <v>화면 내 중요정보 평문 노출</v>
          </cell>
          <cell r="D46" t="str">
            <v>이용자 단말기에서 화면 내에 이용자 중요정보의 평문노출 방지</v>
          </cell>
          <cell r="E46" t="str">
            <v>상</v>
          </cell>
        </row>
        <row r="47">
          <cell r="B47" t="str">
            <v>M-108</v>
          </cell>
          <cell r="C47" t="str">
            <v>앱 소스코드 내 운영정보 노출</v>
          </cell>
          <cell r="D47" t="str">
            <v>어플리케이션을 디컴파일 및 역분석하여 코드 상에 운영 정보의 노출 제거</v>
          </cell>
          <cell r="E47" t="str">
            <v>하</v>
          </cell>
        </row>
        <row r="48">
          <cell r="B48" t="str">
            <v>M-109</v>
          </cell>
          <cell r="C48" t="str">
            <v>화면 강제실행에 의한 인증단계 우회</v>
          </cell>
          <cell r="D48" t="str">
            <v>화면강제 실행, 인증관련 파일 조작 등을 통한 인증단계 우회 방지</v>
          </cell>
          <cell r="E48" t="str">
            <v>중</v>
          </cell>
        </row>
        <row r="49">
          <cell r="B49" t="str">
            <v>M-110</v>
          </cell>
          <cell r="C49" t="str">
            <v>디버그 로그 내 중요정보 노출</v>
          </cell>
          <cell r="D49" t="str">
            <v>DDMS 등 디버그 로그를 확인 할 수 있는 도구를 이용하여 디버그 로그 내 중요정보 노출 방지</v>
          </cell>
          <cell r="E49" t="str">
            <v>하</v>
          </cell>
        </row>
        <row r="50">
          <cell r="B50" t="str">
            <v>M-111</v>
          </cell>
          <cell r="C50" t="str">
            <v>백그라운드 화면 보호</v>
          </cell>
          <cell r="D50" t="str">
            <v>실행중인 어플리케이션이 백그라운드 상태로 진입할 때 저장되는 스냅샷 파일 내 중요정보 노출 방지</v>
          </cell>
          <cell r="E50" t="str">
            <v>하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ev.okplaza.kr/product/list?inputWord=tes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3"/>
  <sheetViews>
    <sheetView workbookViewId="0">
      <selection activeCell="D3" sqref="D3"/>
    </sheetView>
  </sheetViews>
  <sheetFormatPr defaultColWidth="8.6640625" defaultRowHeight="13.5" customHeight="1"/>
  <cols>
    <col min="1" max="1" width="2.44140625" style="2" customWidth="1"/>
    <col min="2" max="2" width="7.77734375" style="2" customWidth="1"/>
    <col min="3" max="3" width="8.6640625" style="2"/>
    <col min="4" max="4" width="34.33203125" style="2" bestFit="1" customWidth="1"/>
    <col min="5" max="5" width="15.44140625" style="2" bestFit="1" customWidth="1"/>
    <col min="6" max="6" width="14.44140625" style="2" bestFit="1" customWidth="1"/>
    <col min="7" max="7" width="5.21875" style="2" bestFit="1" customWidth="1"/>
    <col min="8" max="8" width="30" style="2" bestFit="1" customWidth="1"/>
    <col min="9" max="9" width="51.21875" style="2" customWidth="1"/>
    <col min="10" max="10" width="9.5546875" style="2" bestFit="1" customWidth="1"/>
    <col min="11" max="14" width="8.6640625" style="2"/>
    <col min="15" max="16" width="8.6640625" style="1"/>
    <col min="17" max="16384" width="8.6640625" style="2"/>
  </cols>
  <sheetData>
    <row r="2" spans="2:10" ht="13.5" customHeight="1">
      <c r="B2" s="33" t="s">
        <v>355</v>
      </c>
      <c r="C2" s="34" t="s">
        <v>411</v>
      </c>
      <c r="D2" s="34" t="s">
        <v>353</v>
      </c>
      <c r="E2" s="34" t="s">
        <v>361</v>
      </c>
      <c r="F2" s="34" t="s">
        <v>363</v>
      </c>
      <c r="G2" s="34" t="s">
        <v>356</v>
      </c>
      <c r="H2" s="34" t="s">
        <v>357</v>
      </c>
      <c r="I2" s="34" t="s">
        <v>364</v>
      </c>
      <c r="J2" s="34" t="s">
        <v>358</v>
      </c>
    </row>
    <row r="3" spans="2:10" ht="13.5" customHeight="1">
      <c r="B3" s="35">
        <v>3</v>
      </c>
      <c r="C3" s="35" t="s">
        <v>410</v>
      </c>
      <c r="D3" s="35" t="s">
        <v>473</v>
      </c>
      <c r="E3" s="35" t="s">
        <v>471</v>
      </c>
      <c r="F3" s="35" t="s">
        <v>165</v>
      </c>
      <c r="G3" s="35" t="s">
        <v>354</v>
      </c>
      <c r="H3" s="42" t="s">
        <v>412</v>
      </c>
      <c r="I3" s="13" t="s">
        <v>365</v>
      </c>
      <c r="J3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16"/>
  <sheetViews>
    <sheetView tabSelected="1" workbookViewId="0">
      <selection activeCell="G20" sqref="G20"/>
    </sheetView>
  </sheetViews>
  <sheetFormatPr defaultRowHeight="13.5" customHeight="1"/>
  <cols>
    <col min="1" max="1" width="8.77734375" style="40"/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1:23"/>
    <row r="2" spans="1:23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360</v>
      </c>
    </row>
    <row r="3" spans="1:23" ht="13.5" customHeight="1">
      <c r="A3" s="40" t="s">
        <v>451</v>
      </c>
      <c r="B3" s="32">
        <v>45826</v>
      </c>
      <c r="C3" s="38" t="s">
        <v>409</v>
      </c>
      <c r="D3" s="23" t="s">
        <v>472</v>
      </c>
      <c r="E3" s="37" t="str">
        <f>IF(LEFT(F3,2)="W-","WEB",IF(LEFT(F3,2)="M-","APP(Android+iOS)",""))</f>
        <v>WEB</v>
      </c>
      <c r="F3" s="24" t="s">
        <v>415</v>
      </c>
      <c r="G3" s="3" t="str">
        <f>IFERROR(VLOOKUP(F3,'03. 범용 체크리스트(수정X)'!$B$2:$E$50,2,FALSE),"")</f>
        <v>정보 누출</v>
      </c>
      <c r="H3" s="15" t="s">
        <v>443</v>
      </c>
      <c r="I3" s="8" t="s">
        <v>419</v>
      </c>
      <c r="J3" s="8" t="s">
        <v>452</v>
      </c>
      <c r="K3" s="8" t="s">
        <v>436</v>
      </c>
      <c r="L3" s="14" t="s">
        <v>464</v>
      </c>
      <c r="M3" s="14" t="s">
        <v>464</v>
      </c>
      <c r="N3" s="11" t="s">
        <v>434</v>
      </c>
      <c r="O3" s="36" t="s">
        <v>465</v>
      </c>
      <c r="P3" s="11" t="str">
        <f>IFERROR(VLOOKUP(F3,'03. 범용 체크리스트(수정X)'!$B$2:$E$50,4,FALSE),"")</f>
        <v>하</v>
      </c>
      <c r="Q3" s="11"/>
      <c r="R3" s="32"/>
      <c r="S3" s="32"/>
      <c r="T3" s="41"/>
      <c r="U3" s="15" t="s">
        <v>420</v>
      </c>
      <c r="V3" s="15"/>
      <c r="W3" s="24"/>
    </row>
    <row r="4" spans="1:23" ht="13.5" customHeight="1">
      <c r="B4" s="32">
        <v>45826</v>
      </c>
      <c r="C4" s="38" t="s">
        <v>409</v>
      </c>
      <c r="D4" s="23" t="s">
        <v>472</v>
      </c>
      <c r="E4" s="37" t="str">
        <f t="shared" ref="E4:E5" si="0">IF(LEFT(F4,2)="W-","WEB",IF(LEFT(F4,2)="M-","APP(Android+iOS)",""))</f>
        <v>WEB</v>
      </c>
      <c r="F4" s="24" t="s">
        <v>415</v>
      </c>
      <c r="G4" s="3" t="str">
        <f>IFERROR(VLOOKUP(F4,'03. 범용 체크리스트(수정X)'!$B$2:$E$50,2,FALSE),"")</f>
        <v>정보 누출</v>
      </c>
      <c r="H4" s="15" t="s">
        <v>445</v>
      </c>
      <c r="I4" s="8" t="s">
        <v>461</v>
      </c>
      <c r="J4" s="8" t="s">
        <v>452</v>
      </c>
      <c r="K4" s="8" t="s">
        <v>466</v>
      </c>
      <c r="L4" s="14" t="s">
        <v>464</v>
      </c>
      <c r="M4" s="14" t="s">
        <v>464</v>
      </c>
      <c r="N4" s="11" t="s">
        <v>434</v>
      </c>
      <c r="O4" s="36" t="s">
        <v>467</v>
      </c>
      <c r="P4" s="11" t="str">
        <f>IFERROR(VLOOKUP(F4,'03. 범용 체크리스트(수정X)'!$B$2:$E$50,4,FALSE),"")</f>
        <v>하</v>
      </c>
      <c r="Q4" s="11"/>
      <c r="R4" s="32"/>
      <c r="S4" s="32"/>
      <c r="T4" s="41"/>
      <c r="U4" s="15" t="s">
        <v>420</v>
      </c>
      <c r="V4" s="15"/>
      <c r="W4" s="24"/>
    </row>
    <row r="5" spans="1:23" ht="13.5" customHeight="1">
      <c r="B5" s="32">
        <v>45826</v>
      </c>
      <c r="C5" s="38" t="s">
        <v>409</v>
      </c>
      <c r="D5" s="23" t="s">
        <v>472</v>
      </c>
      <c r="E5" s="37" t="str">
        <f t="shared" si="0"/>
        <v>WEB</v>
      </c>
      <c r="F5" s="24" t="s">
        <v>415</v>
      </c>
      <c r="G5" s="3" t="str">
        <f>IFERROR(VLOOKUP(F5,'03. 범용 체크리스트(수정X)'!$B$2:$E$50,2,FALSE),"")</f>
        <v>정보 누출</v>
      </c>
      <c r="H5" s="15" t="s">
        <v>462</v>
      </c>
      <c r="I5" s="8" t="s">
        <v>463</v>
      </c>
      <c r="J5" s="8" t="s">
        <v>452</v>
      </c>
      <c r="K5" s="8" t="s">
        <v>437</v>
      </c>
      <c r="L5" s="14" t="s">
        <v>4</v>
      </c>
      <c r="M5" s="14" t="s">
        <v>4</v>
      </c>
      <c r="N5" s="11" t="s">
        <v>367</v>
      </c>
      <c r="O5" s="36" t="s">
        <v>453</v>
      </c>
      <c r="P5" s="11" t="str">
        <f>IFERROR(VLOOKUP(F5,'03. 범용 체크리스트(수정X)'!$B$2:$E$50,4,FALSE),"")</f>
        <v>하</v>
      </c>
      <c r="Q5" s="11"/>
      <c r="R5" s="32"/>
      <c r="S5" s="32"/>
      <c r="T5" s="41"/>
      <c r="U5" s="15" t="s">
        <v>420</v>
      </c>
      <c r="V5" s="15"/>
      <c r="W5" s="24"/>
    </row>
    <row r="6" spans="1:23" ht="13.5" customHeight="1">
      <c r="A6" s="40" t="s">
        <v>438</v>
      </c>
      <c r="B6" s="32">
        <v>45826</v>
      </c>
      <c r="C6" s="38" t="s">
        <v>409</v>
      </c>
      <c r="D6" s="23" t="s">
        <v>472</v>
      </c>
      <c r="E6" s="37" t="str">
        <f>IF(LEFT(F6,2)="W-","WEB",IF(LEFT(F6,2)="M-","APP(Android+iOS)",""))</f>
        <v>WEB</v>
      </c>
      <c r="F6" s="24" t="s">
        <v>421</v>
      </c>
      <c r="G6" s="3" t="str">
        <f>IFERROR(VLOOKUP(F6,'03. 범용 체크리스트(수정X)'!$B$2:$E$50,2,FALSE),"")</f>
        <v>크로스사이트 스크립팅(XSS)</v>
      </c>
      <c r="H6" s="15" t="s">
        <v>417</v>
      </c>
      <c r="I6" s="8" t="s">
        <v>444</v>
      </c>
      <c r="J6" s="8" t="s">
        <v>439</v>
      </c>
      <c r="K6" s="8" t="s">
        <v>441</v>
      </c>
      <c r="L6" s="14" t="s">
        <v>440</v>
      </c>
      <c r="M6" s="14" t="s">
        <v>442</v>
      </c>
      <c r="N6" s="11" t="s">
        <v>367</v>
      </c>
      <c r="O6" s="46" t="s">
        <v>422</v>
      </c>
      <c r="P6" s="11" t="str">
        <f>IFERROR(VLOOKUP(F6,'03. 범용 체크리스트(수정X)'!$B$2:$E$50,4,FALSE),"")</f>
        <v>중</v>
      </c>
      <c r="Q6" s="11"/>
      <c r="R6" s="32"/>
      <c r="S6" s="32"/>
      <c r="T6" s="41"/>
      <c r="U6" s="15" t="s">
        <v>420</v>
      </c>
      <c r="V6" s="15"/>
      <c r="W6" s="24"/>
    </row>
    <row r="7" spans="1:23" ht="13.5" customHeight="1">
      <c r="A7" s="40" t="s">
        <v>438</v>
      </c>
      <c r="B7" s="32">
        <v>45826</v>
      </c>
      <c r="C7" s="38" t="s">
        <v>409</v>
      </c>
      <c r="D7" s="23" t="s">
        <v>472</v>
      </c>
      <c r="E7" s="37" t="str">
        <f>IF(LEFT(F7,2)="W-","WEB",IF(LEFT(F7,2)="M-","APP(Android+iOS)",""))</f>
        <v>WEB</v>
      </c>
      <c r="F7" s="24" t="s">
        <v>421</v>
      </c>
      <c r="G7" s="3" t="str">
        <f>IFERROR(VLOOKUP(F7,'03. 범용 체크리스트(수정X)'!$B$2:$E$50,2,FALSE),"")</f>
        <v>크로스사이트 스크립팅(XSS)</v>
      </c>
      <c r="H7" s="15" t="s">
        <v>418</v>
      </c>
      <c r="I7" s="8" t="s">
        <v>446</v>
      </c>
      <c r="J7" s="8" t="s">
        <v>448</v>
      </c>
      <c r="K7" s="8" t="s">
        <v>447</v>
      </c>
      <c r="L7" s="14" t="s">
        <v>449</v>
      </c>
      <c r="M7" s="14" t="s">
        <v>450</v>
      </c>
      <c r="N7" s="11" t="s">
        <v>367</v>
      </c>
      <c r="O7" s="46" t="s">
        <v>422</v>
      </c>
      <c r="P7" s="11" t="str">
        <f>IFERROR(VLOOKUP(F7,'03. 범용 체크리스트(수정X)'!$B$2:$E$50,4,FALSE),"")</f>
        <v>중</v>
      </c>
      <c r="Q7" s="11"/>
      <c r="R7" s="32"/>
      <c r="S7" s="32"/>
      <c r="T7" s="41"/>
      <c r="U7" s="15" t="s">
        <v>420</v>
      </c>
      <c r="V7" s="15"/>
      <c r="W7" s="24"/>
    </row>
    <row r="8" spans="1:23" ht="13.5" customHeight="1">
      <c r="A8" s="40" t="s">
        <v>429</v>
      </c>
      <c r="B8" s="32">
        <v>45826</v>
      </c>
      <c r="C8" s="38" t="s">
        <v>409</v>
      </c>
      <c r="D8" s="23" t="s">
        <v>472</v>
      </c>
      <c r="E8" s="37" t="str">
        <f>IF(LEFT(F8,2)="W-","WEB",IF(LEFT(F8,2)="M-","APP(Android+iOS)",""))</f>
        <v>WEB</v>
      </c>
      <c r="F8" s="24" t="s">
        <v>424</v>
      </c>
      <c r="G8" s="3" t="str">
        <f>IFERROR(VLOOKUP(F8,'03. 범용 체크리스트(수정X)'!$B$2:$E$50,2,FALSE),"")</f>
        <v>불충분한 인증</v>
      </c>
      <c r="H8" s="15" t="s">
        <v>4</v>
      </c>
      <c r="I8" s="8" t="s">
        <v>4</v>
      </c>
      <c r="J8" s="8" t="s">
        <v>430</v>
      </c>
      <c r="K8" s="8" t="s">
        <v>431</v>
      </c>
      <c r="L8" s="14" t="s">
        <v>432</v>
      </c>
      <c r="M8" s="14" t="s">
        <v>433</v>
      </c>
      <c r="N8" s="11" t="s">
        <v>434</v>
      </c>
      <c r="O8" s="36" t="s">
        <v>435</v>
      </c>
      <c r="P8" s="11" t="str">
        <f>IFERROR(VLOOKUP(F8,'03. 범용 체크리스트(수정X)'!$B$2:$E$50,4,FALSE),"")</f>
        <v>중</v>
      </c>
      <c r="Q8" s="11"/>
      <c r="R8" s="32"/>
      <c r="S8" s="32"/>
      <c r="T8" s="41"/>
      <c r="U8" s="15" t="s">
        <v>420</v>
      </c>
      <c r="V8" s="15"/>
      <c r="W8" s="24"/>
    </row>
    <row r="9" spans="1:23" ht="13.5" customHeight="1">
      <c r="A9" s="40" t="s">
        <v>455</v>
      </c>
      <c r="B9" s="32">
        <v>45827</v>
      </c>
      <c r="C9" s="38" t="s">
        <v>409</v>
      </c>
      <c r="D9" s="23" t="s">
        <v>472</v>
      </c>
      <c r="E9" s="37" t="str">
        <f>IF(LEFT(F9,2)="W-","WEB",IF(LEFT(F9,2)="M-","APP(Android+iOS)",""))</f>
        <v>WEB</v>
      </c>
      <c r="F9" s="24" t="s">
        <v>454</v>
      </c>
      <c r="G9" s="3" t="str">
        <f>IFERROR(VLOOKUP(F9,'03. 범용 체크리스트(수정X)'!$B$2:$E$50,2,FALSE),"")</f>
        <v>불충분한 인가</v>
      </c>
      <c r="H9" s="15" t="s">
        <v>4</v>
      </c>
      <c r="I9" s="8" t="s">
        <v>4</v>
      </c>
      <c r="J9" s="8" t="s">
        <v>456</v>
      </c>
      <c r="K9" s="8" t="s">
        <v>457</v>
      </c>
      <c r="L9" s="14" t="s">
        <v>458</v>
      </c>
      <c r="M9" s="14" t="s">
        <v>459</v>
      </c>
      <c r="N9" s="11" t="s">
        <v>367</v>
      </c>
      <c r="O9" s="36" t="s">
        <v>460</v>
      </c>
      <c r="P9" s="11" t="str">
        <f>IFERROR(VLOOKUP(F9,'03. 범용 체크리스트(수정X)'!$B$2:$E$50,4,FALSE),"")</f>
        <v>중</v>
      </c>
      <c r="Q9" s="11"/>
      <c r="R9" s="32"/>
      <c r="S9" s="32"/>
      <c r="T9" s="41"/>
      <c r="U9" s="15" t="s">
        <v>420</v>
      </c>
      <c r="V9" s="15"/>
      <c r="W9" s="24"/>
    </row>
    <row r="10" spans="1:23" ht="13.5" customHeight="1">
      <c r="B10" s="32">
        <v>45827</v>
      </c>
      <c r="C10" s="38" t="s">
        <v>409</v>
      </c>
      <c r="D10" s="23" t="s">
        <v>472</v>
      </c>
      <c r="E10" s="37" t="s">
        <v>468</v>
      </c>
      <c r="F10" s="24" t="s">
        <v>75</v>
      </c>
      <c r="G10" s="3" t="s">
        <v>76</v>
      </c>
      <c r="H10" s="15" t="s">
        <v>464</v>
      </c>
      <c r="I10" s="8" t="s">
        <v>464</v>
      </c>
      <c r="J10" s="8" t="s">
        <v>469</v>
      </c>
      <c r="K10" s="8" t="s">
        <v>470</v>
      </c>
      <c r="L10" s="14" t="s">
        <v>464</v>
      </c>
      <c r="M10" s="14" t="s">
        <v>464</v>
      </c>
      <c r="N10" s="11" t="s">
        <v>434</v>
      </c>
      <c r="O10" s="36" t="s">
        <v>423</v>
      </c>
      <c r="P10" s="11" t="s">
        <v>8</v>
      </c>
      <c r="Q10" s="11"/>
      <c r="R10" s="32"/>
      <c r="S10" s="32"/>
      <c r="T10" s="41"/>
      <c r="U10" s="15" t="s">
        <v>420</v>
      </c>
      <c r="V10" s="15"/>
      <c r="W10" s="24"/>
    </row>
    <row r="11" spans="1:23" ht="13.5" customHeight="1">
      <c r="B11" s="32">
        <v>45827</v>
      </c>
      <c r="C11" s="38" t="s">
        <v>409</v>
      </c>
      <c r="D11" s="23" t="s">
        <v>472</v>
      </c>
      <c r="E11" s="37" t="s">
        <v>468</v>
      </c>
      <c r="F11" s="24" t="s">
        <v>78</v>
      </c>
      <c r="G11" s="3" t="s">
        <v>79</v>
      </c>
      <c r="H11" s="15" t="s">
        <v>464</v>
      </c>
      <c r="I11" s="8" t="s">
        <v>464</v>
      </c>
      <c r="J11" s="8" t="s">
        <v>469</v>
      </c>
      <c r="K11" s="8" t="s">
        <v>470</v>
      </c>
      <c r="L11" s="14" t="s">
        <v>464</v>
      </c>
      <c r="M11" s="14" t="s">
        <v>464</v>
      </c>
      <c r="N11" s="11" t="s">
        <v>434</v>
      </c>
      <c r="O11" s="36" t="s">
        <v>426</v>
      </c>
      <c r="P11" s="11" t="s">
        <v>8</v>
      </c>
      <c r="Q11" s="11"/>
      <c r="R11" s="32"/>
      <c r="S11" s="32"/>
      <c r="T11" s="41"/>
      <c r="U11" s="15" t="s">
        <v>420</v>
      </c>
      <c r="V11" s="15"/>
      <c r="W11" s="24"/>
    </row>
    <row r="12" spans="1:23" ht="13.5" customHeight="1">
      <c r="A12" s="40" t="s">
        <v>414</v>
      </c>
      <c r="B12" s="32">
        <v>45820</v>
      </c>
      <c r="C12" s="38" t="s">
        <v>409</v>
      </c>
      <c r="D12" s="23" t="s">
        <v>472</v>
      </c>
      <c r="E12" s="37" t="str">
        <f>IF(LEFT(F12,2)="W-","WEB",IF(LEFT(F12,2)="M-","APP(Android+iOS)",""))</f>
        <v>WEB</v>
      </c>
      <c r="F12" s="24" t="s">
        <v>413</v>
      </c>
      <c r="G12" s="3" t="str">
        <f>IFERROR(VLOOKUP(F12,'03. 범용 체크리스트(수정X)'!$B$2:$E$50,2,FALSE),"")</f>
        <v>취약한 HTTPS 암호 알고리즘 이용</v>
      </c>
      <c r="H12" s="15" t="s">
        <v>4</v>
      </c>
      <c r="I12" s="8" t="s">
        <v>4</v>
      </c>
      <c r="J12" s="8" t="s">
        <v>416</v>
      </c>
      <c r="K12" s="8" t="s">
        <v>437</v>
      </c>
      <c r="L12" s="14" t="s">
        <v>4</v>
      </c>
      <c r="M12" s="14" t="s">
        <v>4</v>
      </c>
      <c r="N12" s="11" t="s">
        <v>367</v>
      </c>
      <c r="O12" s="36" t="s">
        <v>391</v>
      </c>
      <c r="P12" s="11" t="str">
        <f>IFERROR(VLOOKUP(F12,'03. 범용 체크리스트(수정X)'!$B$2:$E$50,4,FALSE),"")</f>
        <v>하</v>
      </c>
      <c r="Q12" s="11"/>
      <c r="R12" s="32"/>
      <c r="S12" s="32"/>
      <c r="T12" s="41"/>
      <c r="U12" s="15" t="s">
        <v>420</v>
      </c>
      <c r="V12" s="15"/>
      <c r="W12" s="24"/>
    </row>
    <row r="13" spans="1:23" ht="13.5" customHeight="1">
      <c r="B13" s="32">
        <v>45827</v>
      </c>
      <c r="C13" s="38" t="s">
        <v>409</v>
      </c>
      <c r="D13" s="23" t="s">
        <v>472</v>
      </c>
      <c r="E13" s="37" t="str">
        <f t="shared" ref="E13" si="1">IF(LEFT(F13,2)="W-","WEB",IF(LEFT(F13,2)="M-","APP(Android+iOS)",""))</f>
        <v>WEB</v>
      </c>
      <c r="F13" s="24" t="s">
        <v>427</v>
      </c>
      <c r="G13" s="3" t="str">
        <f>IFERROR(VLOOKUP(F13,'[1]03. 범용 체크리스트(수정X)'!$B$2:$E$50,2,FALSE),"")</f>
        <v>크리덴셜 스터핑</v>
      </c>
      <c r="H13" s="15" t="s">
        <v>4</v>
      </c>
      <c r="I13" s="8" t="s">
        <v>4</v>
      </c>
      <c r="J13" s="8" t="s">
        <v>425</v>
      </c>
      <c r="K13" s="8" t="s">
        <v>470</v>
      </c>
      <c r="L13" s="14" t="s">
        <v>4</v>
      </c>
      <c r="M13" s="14" t="s">
        <v>4</v>
      </c>
      <c r="N13" s="11" t="s">
        <v>367</v>
      </c>
      <c r="O13" s="36" t="s">
        <v>428</v>
      </c>
      <c r="P13" s="11" t="str">
        <f>IFERROR(VLOOKUP(F13,'[1]03. 범용 체크리스트(수정X)'!$B$2:$E$50,4,FALSE),"")</f>
        <v>하</v>
      </c>
      <c r="Q13" s="11"/>
      <c r="R13" s="32"/>
      <c r="S13" s="32"/>
      <c r="T13" s="41"/>
      <c r="U13" s="15" t="s">
        <v>420</v>
      </c>
      <c r="V13" s="15"/>
      <c r="W13" s="24"/>
    </row>
    <row r="16" spans="1:23" ht="13.5" customHeight="1">
      <c r="C16" s="12"/>
      <c r="D16"/>
      <c r="F16" s="18"/>
    </row>
  </sheetData>
  <autoFilter ref="A2:V2" xr:uid="{00000000-0009-0000-0000-000001000000}"/>
  <sortState xmlns:xlrd2="http://schemas.microsoft.com/office/spreadsheetml/2017/richdata2" ref="A3:W18">
    <sortCondition ref="A3:A304"/>
  </sortState>
  <phoneticPr fontId="54" type="noConversion"/>
  <conditionalFormatting sqref="B2:D2 B14:D1048576">
    <cfRule type="endsWith" dxfId="422" priority="21386" operator="endsWith" text=" ">
      <formula>RIGHT(B2,LEN(" "))=" "</formula>
    </cfRule>
  </conditionalFormatting>
  <conditionalFormatting sqref="B1:D1">
    <cfRule type="endsWith" dxfId="421" priority="9612" operator="endsWith" text=" ">
      <formula>RIGHT(B1,LEN(" "))=" "</formula>
    </cfRule>
  </conditionalFormatting>
  <conditionalFormatting sqref="R3:S5">
    <cfRule type="expression" dxfId="182" priority="163">
      <formula>ISBLANK($R3)</formula>
    </cfRule>
  </conditionalFormatting>
  <conditionalFormatting sqref="R3:R5">
    <cfRule type="expression" dxfId="181" priority="162">
      <formula>IF(#REF!="제외",1,0)</formula>
    </cfRule>
  </conditionalFormatting>
  <conditionalFormatting sqref="V3:V5">
    <cfRule type="expression" dxfId="180" priority="161">
      <formula>ISBLANK($V3)</formula>
    </cfRule>
  </conditionalFormatting>
  <conditionalFormatting sqref="S3:S5">
    <cfRule type="expression" dxfId="179" priority="160">
      <formula>#REF!="제외"="해당없음"</formula>
    </cfRule>
  </conditionalFormatting>
  <conditionalFormatting sqref="V3:V5">
    <cfRule type="expression" dxfId="178" priority="159">
      <formula>#REF!="제외"</formula>
    </cfRule>
  </conditionalFormatting>
  <conditionalFormatting sqref="B3:D3 B4:C5 D4:D13">
    <cfRule type="endsWith" dxfId="177" priority="158" operator="endsWith" text=" ">
      <formula>RIGHT(B3,LEN(" "))=" "</formula>
    </cfRule>
  </conditionalFormatting>
  <conditionalFormatting sqref="S3:S5">
    <cfRule type="expression" dxfId="176" priority="164">
      <formula>#REF!="제외"</formula>
    </cfRule>
    <cfRule type="expression" dxfId="175" priority="165">
      <formula>TEXT(#REF!,"YYYY")="2022"</formula>
    </cfRule>
    <cfRule type="expression" dxfId="174" priority="166">
      <formula>$S3="조치완료"</formula>
    </cfRule>
    <cfRule type="expression" dxfId="173" priority="167">
      <formula>$S3="조치미흡"</formula>
    </cfRule>
  </conditionalFormatting>
  <conditionalFormatting sqref="T3:T5">
    <cfRule type="expression" dxfId="172" priority="168">
      <formula>#REF!="제외"</formula>
    </cfRule>
    <cfRule type="expression" dxfId="171" priority="169">
      <formula>ISBLANK($T3)</formula>
    </cfRule>
  </conditionalFormatting>
  <conditionalFormatting sqref="Q3:Q5">
    <cfRule type="expression" dxfId="170" priority="156">
      <formula>ISBLANK($Q3)</formula>
    </cfRule>
    <cfRule type="expression" dxfId="169" priority="157">
      <formula>ISBLANK($Q3)</formula>
    </cfRule>
  </conditionalFormatting>
  <conditionalFormatting sqref="R7:S7">
    <cfRule type="expression" dxfId="154" priority="135">
      <formula>ISBLANK($R7)</formula>
    </cfRule>
  </conditionalFormatting>
  <conditionalFormatting sqref="R7">
    <cfRule type="expression" dxfId="153" priority="134">
      <formula>IF(#REF!="제외",1,0)</formula>
    </cfRule>
  </conditionalFormatting>
  <conditionalFormatting sqref="V7">
    <cfRule type="expression" dxfId="152" priority="133">
      <formula>ISBLANK($V7)</formula>
    </cfRule>
  </conditionalFormatting>
  <conditionalFormatting sqref="S7">
    <cfRule type="expression" dxfId="151" priority="132">
      <formula>#REF!="제외"="해당없음"</formula>
    </cfRule>
  </conditionalFormatting>
  <conditionalFormatting sqref="V7">
    <cfRule type="expression" dxfId="150" priority="131">
      <formula>#REF!="제외"</formula>
    </cfRule>
  </conditionalFormatting>
  <conditionalFormatting sqref="B7:C7">
    <cfRule type="endsWith" dxfId="149" priority="130" operator="endsWith" text=" ">
      <formula>RIGHT(B7,LEN(" "))=" "</formula>
    </cfRule>
  </conditionalFormatting>
  <conditionalFormatting sqref="S7">
    <cfRule type="expression" dxfId="148" priority="136">
      <formula>#REF!="제외"</formula>
    </cfRule>
    <cfRule type="expression" dxfId="147" priority="137">
      <formula>TEXT(#REF!,"YYYY")="2022"</formula>
    </cfRule>
    <cfRule type="expression" dxfId="146" priority="138">
      <formula>$S7="조치완료"</formula>
    </cfRule>
    <cfRule type="expression" dxfId="145" priority="139">
      <formula>$S7="조치미흡"</formula>
    </cfRule>
  </conditionalFormatting>
  <conditionalFormatting sqref="T7">
    <cfRule type="expression" dxfId="144" priority="140">
      <formula>#REF!="제외"</formula>
    </cfRule>
    <cfRule type="expression" dxfId="143" priority="141">
      <formula>ISBLANK($T7)</formula>
    </cfRule>
  </conditionalFormatting>
  <conditionalFormatting sqref="Q7">
    <cfRule type="expression" dxfId="142" priority="128">
      <formula>ISBLANK($Q7)</formula>
    </cfRule>
    <cfRule type="expression" dxfId="141" priority="129">
      <formula>ISBLANK($Q7)</formula>
    </cfRule>
  </conditionalFormatting>
  <conditionalFormatting sqref="R8:S8">
    <cfRule type="expression" dxfId="126" priority="107">
      <formula>ISBLANK($R8)</formula>
    </cfRule>
  </conditionalFormatting>
  <conditionalFormatting sqref="R8">
    <cfRule type="expression" dxfId="125" priority="106">
      <formula>IF(#REF!="제외",1,0)</formula>
    </cfRule>
  </conditionalFormatting>
  <conditionalFormatting sqref="V8">
    <cfRule type="expression" dxfId="124" priority="105">
      <formula>ISBLANK($V8)</formula>
    </cfRule>
  </conditionalFormatting>
  <conditionalFormatting sqref="S8">
    <cfRule type="expression" dxfId="123" priority="104">
      <formula>#REF!="제외"="해당없음"</formula>
    </cfRule>
  </conditionalFormatting>
  <conditionalFormatting sqref="V8">
    <cfRule type="expression" dxfId="122" priority="103">
      <formula>#REF!="제외"</formula>
    </cfRule>
  </conditionalFormatting>
  <conditionalFormatting sqref="B8:C8">
    <cfRule type="endsWith" dxfId="121" priority="102" operator="endsWith" text=" ">
      <formula>RIGHT(B8,LEN(" "))=" "</formula>
    </cfRule>
  </conditionalFormatting>
  <conditionalFormatting sqref="S8">
    <cfRule type="expression" dxfId="120" priority="108">
      <formula>#REF!="제외"</formula>
    </cfRule>
    <cfRule type="expression" dxfId="119" priority="109">
      <formula>TEXT(#REF!,"YYYY")="2022"</formula>
    </cfRule>
    <cfRule type="expression" dxfId="118" priority="110">
      <formula>$S8="조치완료"</formula>
    </cfRule>
    <cfRule type="expression" dxfId="117" priority="111">
      <formula>$S8="조치미흡"</formula>
    </cfRule>
  </conditionalFormatting>
  <conditionalFormatting sqref="T8">
    <cfRule type="expression" dxfId="116" priority="112">
      <formula>#REF!="제외"</formula>
    </cfRule>
    <cfRule type="expression" dxfId="115" priority="113">
      <formula>ISBLANK($T8)</formula>
    </cfRule>
  </conditionalFormatting>
  <conditionalFormatting sqref="Q8">
    <cfRule type="expression" dxfId="114" priority="100">
      <formula>ISBLANK($Q8)</formula>
    </cfRule>
    <cfRule type="expression" dxfId="113" priority="101">
      <formula>ISBLANK($Q8)</formula>
    </cfRule>
  </conditionalFormatting>
  <conditionalFormatting sqref="R6:S6">
    <cfRule type="expression" dxfId="98" priority="79">
      <formula>ISBLANK($R6)</formula>
    </cfRule>
  </conditionalFormatting>
  <conditionalFormatting sqref="R6">
    <cfRule type="expression" dxfId="97" priority="78">
      <formula>IF(#REF!="제외",1,0)</formula>
    </cfRule>
  </conditionalFormatting>
  <conditionalFormatting sqref="V6">
    <cfRule type="expression" dxfId="96" priority="77">
      <formula>ISBLANK($V6)</formula>
    </cfRule>
  </conditionalFormatting>
  <conditionalFormatting sqref="S6">
    <cfRule type="expression" dxfId="95" priority="76">
      <formula>#REF!="제외"="해당없음"</formula>
    </cfRule>
  </conditionalFormatting>
  <conditionalFormatting sqref="V6">
    <cfRule type="expression" dxfId="94" priority="75">
      <formula>#REF!="제외"</formula>
    </cfRule>
  </conditionalFormatting>
  <conditionalFormatting sqref="B6:C6">
    <cfRule type="endsWith" dxfId="93" priority="74" operator="endsWith" text=" ">
      <formula>RIGHT(B6,LEN(" "))=" "</formula>
    </cfRule>
  </conditionalFormatting>
  <conditionalFormatting sqref="S6">
    <cfRule type="expression" dxfId="92" priority="80">
      <formula>#REF!="제외"</formula>
    </cfRule>
    <cfRule type="expression" dxfId="91" priority="81">
      <formula>TEXT(#REF!,"YYYY")="2022"</formula>
    </cfRule>
    <cfRule type="expression" dxfId="90" priority="82">
      <formula>$S6="조치완료"</formula>
    </cfRule>
    <cfRule type="expression" dxfId="89" priority="83">
      <formula>$S6="조치미흡"</formula>
    </cfRule>
  </conditionalFormatting>
  <conditionalFormatting sqref="T6">
    <cfRule type="expression" dxfId="88" priority="84">
      <formula>#REF!="제외"</formula>
    </cfRule>
    <cfRule type="expression" dxfId="87" priority="85">
      <formula>ISBLANK($T6)</formula>
    </cfRule>
  </conditionalFormatting>
  <conditionalFormatting sqref="Q6">
    <cfRule type="expression" dxfId="86" priority="72">
      <formula>ISBLANK($Q6)</formula>
    </cfRule>
    <cfRule type="expression" dxfId="85" priority="73">
      <formula>ISBLANK($Q6)</formula>
    </cfRule>
  </conditionalFormatting>
  <conditionalFormatting sqref="R9:S11">
    <cfRule type="expression" dxfId="70" priority="51">
      <formula>ISBLANK($R9)</formula>
    </cfRule>
  </conditionalFormatting>
  <conditionalFormatting sqref="R9:R11">
    <cfRule type="expression" dxfId="69" priority="50">
      <formula>IF(#REF!="제외",1,0)</formula>
    </cfRule>
  </conditionalFormatting>
  <conditionalFormatting sqref="V9:V11">
    <cfRule type="expression" dxfId="68" priority="49">
      <formula>ISBLANK($V9)</formula>
    </cfRule>
  </conditionalFormatting>
  <conditionalFormatting sqref="S9:S11">
    <cfRule type="expression" dxfId="67" priority="48">
      <formula>#REF!="제외"="해당없음"</formula>
    </cfRule>
  </conditionalFormatting>
  <conditionalFormatting sqref="V9:V11">
    <cfRule type="expression" dxfId="66" priority="47">
      <formula>#REF!="제외"</formula>
    </cfRule>
  </conditionalFormatting>
  <conditionalFormatting sqref="B9:C11">
    <cfRule type="endsWith" dxfId="65" priority="46" operator="endsWith" text=" ">
      <formula>RIGHT(B9,LEN(" "))=" "</formula>
    </cfRule>
  </conditionalFormatting>
  <conditionalFormatting sqref="S9:S11">
    <cfRule type="expression" dxfId="64" priority="52">
      <formula>#REF!="제외"</formula>
    </cfRule>
    <cfRule type="expression" dxfId="63" priority="53">
      <formula>TEXT(#REF!,"YYYY")="2022"</formula>
    </cfRule>
    <cfRule type="expression" dxfId="62" priority="54">
      <formula>$S9="조치완료"</formula>
    </cfRule>
    <cfRule type="expression" dxfId="61" priority="55">
      <formula>$S9="조치미흡"</formula>
    </cfRule>
  </conditionalFormatting>
  <conditionalFormatting sqref="T9:T11">
    <cfRule type="expression" dxfId="60" priority="56">
      <formula>#REF!="제외"</formula>
    </cfRule>
    <cfRule type="expression" dxfId="59" priority="57">
      <formula>ISBLANK($T9)</formula>
    </cfRule>
  </conditionalFormatting>
  <conditionalFormatting sqref="Q9:Q11">
    <cfRule type="expression" dxfId="58" priority="44">
      <formula>ISBLANK($Q9)</formula>
    </cfRule>
    <cfRule type="expression" dxfId="57" priority="45">
      <formula>ISBLANK($Q9)</formula>
    </cfRule>
  </conditionalFormatting>
  <conditionalFormatting sqref="R12:S12">
    <cfRule type="expression" dxfId="42" priority="23">
      <formula>ISBLANK($R12)</formula>
    </cfRule>
  </conditionalFormatting>
  <conditionalFormatting sqref="R12">
    <cfRule type="expression" dxfId="41" priority="22">
      <formula>IF(#REF!="제외",1,0)</formula>
    </cfRule>
  </conditionalFormatting>
  <conditionalFormatting sqref="V12">
    <cfRule type="expression" dxfId="40" priority="21">
      <formula>ISBLANK($V12)</formula>
    </cfRule>
  </conditionalFormatting>
  <conditionalFormatting sqref="S12">
    <cfRule type="expression" dxfId="39" priority="20">
      <formula>#REF!="제외"="해당없음"</formula>
    </cfRule>
  </conditionalFormatting>
  <conditionalFormatting sqref="V12">
    <cfRule type="expression" dxfId="38" priority="19">
      <formula>#REF!="제외"</formula>
    </cfRule>
  </conditionalFormatting>
  <conditionalFormatting sqref="B12:C12">
    <cfRule type="endsWith" dxfId="37" priority="18" operator="endsWith" text=" ">
      <formula>RIGHT(B12,LEN(" "))=" "</formula>
    </cfRule>
  </conditionalFormatting>
  <conditionalFormatting sqref="S12">
    <cfRule type="expression" dxfId="36" priority="24">
      <formula>#REF!="제외"</formula>
    </cfRule>
    <cfRule type="expression" dxfId="35" priority="25">
      <formula>TEXT(#REF!,"YYYY")="2022"</formula>
    </cfRule>
    <cfRule type="expression" dxfId="34" priority="26">
      <formula>$S12="조치완료"</formula>
    </cfRule>
    <cfRule type="expression" dxfId="33" priority="27">
      <formula>$S12="조치미흡"</formula>
    </cfRule>
  </conditionalFormatting>
  <conditionalFormatting sqref="T12">
    <cfRule type="expression" dxfId="32" priority="28">
      <formula>#REF!="제외"</formula>
    </cfRule>
    <cfRule type="expression" dxfId="31" priority="29">
      <formula>ISBLANK($T12)</formula>
    </cfRule>
  </conditionalFormatting>
  <conditionalFormatting sqref="Q12">
    <cfRule type="expression" dxfId="30" priority="16">
      <formula>ISBLANK($Q12)</formula>
    </cfRule>
    <cfRule type="expression" dxfId="29" priority="17">
      <formula>ISBLANK($Q12)</formula>
    </cfRule>
  </conditionalFormatting>
  <conditionalFormatting sqref="R13:S13">
    <cfRule type="expression" dxfId="14" priority="9">
      <formula>ISBLANK($R13)</formula>
    </cfRule>
  </conditionalFormatting>
  <conditionalFormatting sqref="R13">
    <cfRule type="expression" dxfId="13" priority="8">
      <formula>IF(#REF!="제외",1,0)</formula>
    </cfRule>
  </conditionalFormatting>
  <conditionalFormatting sqref="V13">
    <cfRule type="expression" dxfId="12" priority="7">
      <formula>ISBLANK($V13)</formula>
    </cfRule>
  </conditionalFormatting>
  <conditionalFormatting sqref="S13">
    <cfRule type="expression" dxfId="11" priority="6">
      <formula>#REF!="제외"="해당없음"</formula>
    </cfRule>
  </conditionalFormatting>
  <conditionalFormatting sqref="V13">
    <cfRule type="expression" dxfId="10" priority="5">
      <formula>#REF!="제외"</formula>
    </cfRule>
  </conditionalFormatting>
  <conditionalFormatting sqref="C13">
    <cfRule type="endsWith" dxfId="9" priority="4" operator="endsWith" text=" ">
      <formula>RIGHT(C13,LEN(" "))=" "</formula>
    </cfRule>
  </conditionalFormatting>
  <conditionalFormatting sqref="S13">
    <cfRule type="expression" dxfId="8" priority="10">
      <formula>#REF!="제외"</formula>
    </cfRule>
    <cfRule type="expression" dxfId="7" priority="11">
      <formula>TEXT(#REF!,"YYYY")="2022"</formula>
    </cfRule>
    <cfRule type="expression" dxfId="6" priority="12">
      <formula>$S13="조치완료"</formula>
    </cfRule>
    <cfRule type="expression" dxfId="5" priority="13">
      <formula>$S13="조치미흡"</formula>
    </cfRule>
  </conditionalFormatting>
  <conditionalFormatting sqref="T13">
    <cfRule type="expression" dxfId="4" priority="14">
      <formula>#REF!="제외"</formula>
    </cfRule>
    <cfRule type="expression" dxfId="3" priority="15">
      <formula>ISBLANK($T13)</formula>
    </cfRule>
  </conditionalFormatting>
  <conditionalFormatting sqref="Q13">
    <cfRule type="expression" dxfId="2" priority="2">
      <formula>ISBLANK($Q13)</formula>
    </cfRule>
    <cfRule type="expression" dxfId="1" priority="3">
      <formula>ISBLANK($Q13)</formula>
    </cfRule>
  </conditionalFormatting>
  <conditionalFormatting sqref="B13">
    <cfRule type="endsWith" dxfId="0" priority="1" operator="endsWith" text=" ">
      <formula>RIGHT(B13,LEN(" "))=" "</formula>
    </cfRule>
  </conditionalFormatting>
  <dataValidations count="1">
    <dataValidation type="list" allowBlank="1" showInputMessage="1" showErrorMessage="1" sqref="S3:S13" xr:uid="{A6217336-3B2C-446A-962A-6052C725EE75}">
      <formula1>"조치완료,조치미흡,해당없음"</formula1>
    </dataValidation>
  </dataValidations>
  <hyperlinks>
    <hyperlink ref="K6" r:id="rId1" display="https://dev.okplaza.kr/product/list?inputWord=test" xr:uid="{30715128-B518-4DA1-B15D-A248220D33FC}"/>
  </hyperlinks>
  <pageMargins left="0.7" right="0.7" top="0.75" bottom="0.75" header="0.3" footer="0.3"/>
  <pageSetup paperSize="9" orientation="portrait" r:id="rId2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640625" style="12" bestFit="1" customWidth="1"/>
    <col min="3" max="3" width="12" style="18" customWidth="1"/>
    <col min="4" max="4" width="21.88671875" style="12" customWidth="1"/>
    <col min="5" max="6" width="8.88671875" style="12" customWidth="1"/>
    <col min="7" max="7" width="36.44140625" customWidth="1"/>
    <col min="8" max="8" width="8.88671875" style="12" customWidth="1"/>
    <col min="9" max="9" width="8.88671875" style="18" customWidth="1"/>
    <col min="10" max="10" width="38" customWidth="1"/>
    <col min="11" max="11" width="39.21875" customWidth="1"/>
    <col min="12" max="13" width="8.88671875" customWidth="1"/>
    <col min="14" max="14" width="8.88671875" style="17" hidden="1" customWidth="1"/>
    <col min="15" max="15" width="43.44140625" customWidth="1"/>
    <col min="16" max="16" width="8.88671875" style="12" customWidth="1"/>
    <col min="17" max="17" width="10.6640625" style="12" customWidth="1"/>
    <col min="18" max="18" width="10.6640625" customWidth="1"/>
    <col min="19" max="19" width="8.88671875" customWidth="1"/>
    <col min="20" max="20" width="17.6640625" style="19" customWidth="1"/>
    <col min="22" max="22" width="8.77734375" customWidth="1"/>
    <col min="23" max="23" width="8.88671875" style="12" customWidth="1"/>
  </cols>
  <sheetData>
    <row r="1" spans="2:23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358</v>
      </c>
    </row>
    <row r="3" spans="2:23" s="10" customFormat="1" ht="1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373</v>
      </c>
      <c r="G3" s="3" t="str">
        <f>IFERROR(VLOOKUP(F3,'03. 범용 체크리스트(수정X)'!$B$2:$E$50,2,FALSE),"")</f>
        <v/>
      </c>
      <c r="H3" s="15" t="s">
        <v>4</v>
      </c>
      <c r="I3" s="8" t="s">
        <v>4</v>
      </c>
      <c r="J3" s="8"/>
      <c r="K3" s="8"/>
      <c r="L3" s="14" t="s">
        <v>4</v>
      </c>
      <c r="M3" s="14" t="s">
        <v>4</v>
      </c>
      <c r="N3" s="11" t="s">
        <v>367</v>
      </c>
      <c r="O3" s="36"/>
      <c r="P3" s="11" t="str">
        <f>IFERROR(VLOOKUP(F3,'03. 범용 체크리스트(수정X)'!$B$2:$E$50,4,FALSE),"")</f>
        <v/>
      </c>
      <c r="Q3" s="11"/>
      <c r="R3" s="32"/>
      <c r="S3" s="32"/>
      <c r="T3" s="41"/>
      <c r="U3" s="15" t="s">
        <v>351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28" priority="20">
      <formula>ISBLANK($R3)</formula>
    </cfRule>
  </conditionalFormatting>
  <conditionalFormatting sqref="R3">
    <cfRule type="expression" dxfId="27" priority="19">
      <formula>IF(#REF!="제외",1,0)</formula>
    </cfRule>
  </conditionalFormatting>
  <conditionalFormatting sqref="V3">
    <cfRule type="expression" dxfId="26" priority="18">
      <formula>ISBLANK($V3)</formula>
    </cfRule>
  </conditionalFormatting>
  <conditionalFormatting sqref="S3">
    <cfRule type="expression" dxfId="25" priority="17">
      <formula>#REF!="제외"="해당없음"</formula>
    </cfRule>
  </conditionalFormatting>
  <conditionalFormatting sqref="V3">
    <cfRule type="expression" dxfId="24" priority="16">
      <formula>#REF!="제외"</formula>
    </cfRule>
  </conditionalFormatting>
  <conditionalFormatting sqref="B1:D1048576">
    <cfRule type="endsWith" dxfId="23" priority="15" operator="endsWith" text=" ">
      <formula>RIGHT(B1,LEN(" "))=" "</formula>
    </cfRule>
  </conditionalFormatting>
  <conditionalFormatting sqref="S3">
    <cfRule type="expression" dxfId="22" priority="21">
      <formula>#REF!="제외"</formula>
    </cfRule>
    <cfRule type="expression" dxfId="21" priority="22">
      <formula>TEXT(#REF!,"YYYY")="2022"</formula>
    </cfRule>
    <cfRule type="expression" dxfId="20" priority="23">
      <formula>$S3="조치완료"</formula>
    </cfRule>
    <cfRule type="expression" dxfId="19" priority="24">
      <formula>$S3="조치미흡"</formula>
    </cfRule>
  </conditionalFormatting>
  <conditionalFormatting sqref="T3">
    <cfRule type="expression" dxfId="18" priority="25">
      <formula>#REF!="제외"</formula>
    </cfRule>
    <cfRule type="expression" dxfId="17" priority="26">
      <formula>ISBLANK($T3)</formula>
    </cfRule>
  </conditionalFormatting>
  <conditionalFormatting sqref="Q3">
    <cfRule type="expression" dxfId="16" priority="1">
      <formula>ISBLANK($Q3)</formula>
    </cfRule>
    <cfRule type="expression" dxfId="15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3.5"/>
  <cols>
    <col min="3" max="3" width="26.109375" customWidth="1"/>
    <col min="4" max="4" width="34.77734375" customWidth="1"/>
  </cols>
  <sheetData>
    <row r="3" spans="2:5" ht="14.25" thickBot="1"/>
    <row r="4" spans="2:5" ht="14.25" thickBot="1">
      <c r="B4" s="26" t="s">
        <v>167</v>
      </c>
      <c r="C4" s="26" t="s">
        <v>168</v>
      </c>
      <c r="D4" s="26" t="s">
        <v>169</v>
      </c>
      <c r="E4" s="27" t="s">
        <v>170</v>
      </c>
    </row>
    <row r="5" spans="2:5" ht="96.75" customHeight="1" thickBot="1">
      <c r="B5" s="28" t="s">
        <v>171</v>
      </c>
      <c r="C5" s="29" t="s">
        <v>172</v>
      </c>
      <c r="D5" s="30" t="s">
        <v>173</v>
      </c>
      <c r="E5" s="31">
        <v>5</v>
      </c>
    </row>
    <row r="6" spans="2:5" ht="96.75" customHeight="1" thickBot="1">
      <c r="B6" s="28" t="s">
        <v>174</v>
      </c>
      <c r="C6" s="29" t="s">
        <v>175</v>
      </c>
      <c r="D6" s="30" t="s">
        <v>176</v>
      </c>
      <c r="E6" s="31">
        <v>5</v>
      </c>
    </row>
    <row r="7" spans="2:5" ht="84.75" customHeight="1" thickBot="1">
      <c r="B7" s="28" t="s">
        <v>177</v>
      </c>
      <c r="C7" s="29" t="s">
        <v>178</v>
      </c>
      <c r="D7" s="30" t="s">
        <v>179</v>
      </c>
      <c r="E7" s="31">
        <v>5</v>
      </c>
    </row>
    <row r="8" spans="2:5" ht="84.75" customHeight="1" thickBot="1">
      <c r="B8" s="28" t="s">
        <v>180</v>
      </c>
      <c r="C8" s="29" t="s">
        <v>181</v>
      </c>
      <c r="D8" s="30" t="s">
        <v>182</v>
      </c>
      <c r="E8" s="31">
        <v>5</v>
      </c>
    </row>
    <row r="9" spans="2:5" ht="84.75" customHeight="1" thickBot="1">
      <c r="B9" s="28" t="s">
        <v>183</v>
      </c>
      <c r="C9" s="29" t="s">
        <v>184</v>
      </c>
      <c r="D9" s="30" t="s">
        <v>185</v>
      </c>
      <c r="E9" s="31">
        <v>5</v>
      </c>
    </row>
    <row r="10" spans="2:5" ht="96.75" customHeight="1" thickBot="1">
      <c r="B10" s="28" t="s">
        <v>186</v>
      </c>
      <c r="C10" s="29" t="s">
        <v>187</v>
      </c>
      <c r="D10" s="30" t="s">
        <v>188</v>
      </c>
      <c r="E10" s="31">
        <v>5</v>
      </c>
    </row>
    <row r="11" spans="2:5" ht="72.75" customHeight="1" thickBot="1">
      <c r="B11" s="28" t="s">
        <v>189</v>
      </c>
      <c r="C11" s="29" t="s">
        <v>190</v>
      </c>
      <c r="D11" s="30" t="s">
        <v>191</v>
      </c>
      <c r="E11" s="31">
        <v>5</v>
      </c>
    </row>
    <row r="12" spans="2:5" ht="72.75" customHeight="1" thickBot="1">
      <c r="B12" s="28" t="s">
        <v>192</v>
      </c>
      <c r="C12" s="29" t="s">
        <v>193</v>
      </c>
      <c r="D12" s="30" t="s">
        <v>194</v>
      </c>
      <c r="E12" s="31">
        <v>5</v>
      </c>
    </row>
    <row r="13" spans="2:5" ht="60.75" customHeight="1" thickBot="1">
      <c r="B13" s="28" t="s">
        <v>195</v>
      </c>
      <c r="C13" s="29" t="s">
        <v>196</v>
      </c>
      <c r="D13" s="30" t="s">
        <v>197</v>
      </c>
      <c r="E13" s="31">
        <v>5</v>
      </c>
    </row>
    <row r="14" spans="2:5" ht="72.75" customHeight="1" thickBot="1">
      <c r="B14" s="28" t="s">
        <v>198</v>
      </c>
      <c r="C14" s="29" t="s">
        <v>199</v>
      </c>
      <c r="D14" s="30" t="s">
        <v>200</v>
      </c>
      <c r="E14" s="31">
        <v>5</v>
      </c>
    </row>
    <row r="15" spans="2:5" ht="120.75" customHeight="1" thickBot="1">
      <c r="B15" s="28" t="s">
        <v>201</v>
      </c>
      <c r="C15" s="29" t="s">
        <v>202</v>
      </c>
      <c r="D15" s="30" t="s">
        <v>203</v>
      </c>
      <c r="E15" s="31">
        <v>5</v>
      </c>
    </row>
    <row r="16" spans="2:5" ht="120.75" customHeight="1" thickBot="1">
      <c r="B16" s="28" t="s">
        <v>204</v>
      </c>
      <c r="C16" s="29" t="s">
        <v>205</v>
      </c>
      <c r="D16" s="30" t="s">
        <v>206</v>
      </c>
      <c r="E16" s="31">
        <v>5</v>
      </c>
    </row>
    <row r="17" spans="2:5" ht="84.75" customHeight="1" thickBot="1">
      <c r="B17" s="28" t="s">
        <v>207</v>
      </c>
      <c r="C17" s="29" t="s">
        <v>208</v>
      </c>
      <c r="D17" s="30" t="s">
        <v>209</v>
      </c>
      <c r="E17" s="31">
        <v>4</v>
      </c>
    </row>
    <row r="18" spans="2:5" ht="156.75" customHeight="1" thickBot="1">
      <c r="B18" s="28" t="s">
        <v>210</v>
      </c>
      <c r="C18" s="29" t="s">
        <v>211</v>
      </c>
      <c r="D18" s="30" t="s">
        <v>212</v>
      </c>
      <c r="E18" s="31">
        <v>5</v>
      </c>
    </row>
    <row r="19" spans="2:5" ht="144.75" customHeight="1" thickBot="1">
      <c r="B19" s="28" t="s">
        <v>213</v>
      </c>
      <c r="C19" s="29" t="s">
        <v>214</v>
      </c>
      <c r="D19" s="30" t="s">
        <v>215</v>
      </c>
      <c r="E19" s="31">
        <v>4</v>
      </c>
    </row>
    <row r="20" spans="2:5" ht="96.75" customHeight="1" thickBot="1">
      <c r="B20" s="28" t="s">
        <v>216</v>
      </c>
      <c r="C20" s="29" t="s">
        <v>217</v>
      </c>
      <c r="D20" s="30" t="s">
        <v>218</v>
      </c>
      <c r="E20" s="31">
        <v>4</v>
      </c>
    </row>
    <row r="21" spans="2:5" ht="72.75" customHeight="1" thickBot="1">
      <c r="B21" s="28" t="s">
        <v>219</v>
      </c>
      <c r="C21" s="29" t="s">
        <v>220</v>
      </c>
      <c r="D21" s="30" t="s">
        <v>221</v>
      </c>
      <c r="E21" s="31">
        <v>5</v>
      </c>
    </row>
    <row r="22" spans="2:5" ht="108.75" customHeight="1" thickBot="1">
      <c r="B22" s="28" t="s">
        <v>222</v>
      </c>
      <c r="C22" s="29" t="s">
        <v>223</v>
      </c>
      <c r="D22" s="30" t="s">
        <v>224</v>
      </c>
      <c r="E22" s="31">
        <v>5</v>
      </c>
    </row>
    <row r="23" spans="2:5" ht="156.75" customHeight="1" thickBot="1">
      <c r="B23" s="28" t="s">
        <v>225</v>
      </c>
      <c r="C23" s="29" t="s">
        <v>226</v>
      </c>
      <c r="D23" s="30" t="s">
        <v>227</v>
      </c>
      <c r="E23" s="31">
        <v>5</v>
      </c>
    </row>
    <row r="24" spans="2:5" ht="156.75" customHeight="1" thickBot="1">
      <c r="B24" s="28" t="s">
        <v>228</v>
      </c>
      <c r="C24" s="29" t="s">
        <v>229</v>
      </c>
      <c r="D24" s="30" t="s">
        <v>230</v>
      </c>
      <c r="E24" s="31">
        <v>5</v>
      </c>
    </row>
    <row r="25" spans="2:5" ht="144.75" customHeight="1" thickBot="1">
      <c r="B25" s="28" t="s">
        <v>231</v>
      </c>
      <c r="C25" s="29" t="s">
        <v>232</v>
      </c>
      <c r="D25" s="30" t="s">
        <v>233</v>
      </c>
      <c r="E25" s="31">
        <v>5</v>
      </c>
    </row>
    <row r="26" spans="2:5" ht="84.75" customHeight="1" thickBot="1">
      <c r="B26" s="28" t="s">
        <v>234</v>
      </c>
      <c r="C26" s="29" t="s">
        <v>13</v>
      </c>
      <c r="D26" s="30" t="s">
        <v>235</v>
      </c>
      <c r="E26" s="31">
        <v>5</v>
      </c>
    </row>
    <row r="27" spans="2:5" ht="84.75" customHeight="1" thickBot="1">
      <c r="B27" s="28" t="s">
        <v>236</v>
      </c>
      <c r="C27" s="29" t="s">
        <v>237</v>
      </c>
      <c r="D27" s="30" t="s">
        <v>238</v>
      </c>
      <c r="E27" s="31">
        <v>5</v>
      </c>
    </row>
    <row r="28" spans="2:5" ht="72.75" customHeight="1" thickBot="1">
      <c r="B28" s="28" t="s">
        <v>239</v>
      </c>
      <c r="C28" s="29" t="s">
        <v>38</v>
      </c>
      <c r="D28" s="30" t="s">
        <v>240</v>
      </c>
      <c r="E28" s="31">
        <v>5</v>
      </c>
    </row>
    <row r="29" spans="2:5" ht="132.75" customHeight="1" thickBot="1">
      <c r="B29" s="28" t="s">
        <v>241</v>
      </c>
      <c r="C29" s="29" t="s">
        <v>242</v>
      </c>
      <c r="D29" s="30" t="s">
        <v>243</v>
      </c>
      <c r="E29" s="31">
        <v>5</v>
      </c>
    </row>
    <row r="30" spans="2:5" ht="144.75" customHeight="1" thickBot="1">
      <c r="B30" s="28" t="s">
        <v>244</v>
      </c>
      <c r="C30" s="29" t="s">
        <v>245</v>
      </c>
      <c r="D30" s="30" t="s">
        <v>246</v>
      </c>
      <c r="E30" s="31">
        <v>4</v>
      </c>
    </row>
    <row r="31" spans="2:5" ht="144.75" customHeight="1" thickBot="1">
      <c r="B31" s="28" t="s">
        <v>247</v>
      </c>
      <c r="C31" s="29" t="s">
        <v>248</v>
      </c>
      <c r="D31" s="30" t="s">
        <v>249</v>
      </c>
      <c r="E31" s="31">
        <v>5</v>
      </c>
    </row>
    <row r="32" spans="2:5" ht="120.75" customHeight="1" thickBot="1">
      <c r="B32" s="28" t="s">
        <v>250</v>
      </c>
      <c r="C32" s="29" t="s">
        <v>251</v>
      </c>
      <c r="D32" s="30" t="s">
        <v>252</v>
      </c>
      <c r="E32" s="31">
        <v>5</v>
      </c>
    </row>
    <row r="33" spans="2:5" ht="144.75" customHeight="1" thickBot="1">
      <c r="B33" s="28" t="s">
        <v>253</v>
      </c>
      <c r="C33" s="29" t="s">
        <v>254</v>
      </c>
      <c r="D33" s="30" t="s">
        <v>255</v>
      </c>
      <c r="E33" s="31">
        <v>4</v>
      </c>
    </row>
    <row r="34" spans="2:5" ht="108.75" customHeight="1" thickBot="1">
      <c r="B34" s="28" t="s">
        <v>256</v>
      </c>
      <c r="C34" s="29" t="s">
        <v>257</v>
      </c>
      <c r="D34" s="30" t="s">
        <v>258</v>
      </c>
      <c r="E34" s="31">
        <v>5</v>
      </c>
    </row>
    <row r="35" spans="2:5" ht="204.75" customHeight="1" thickBot="1">
      <c r="B35" s="28" t="s">
        <v>259</v>
      </c>
      <c r="C35" s="29" t="s">
        <v>260</v>
      </c>
      <c r="D35" s="30" t="s">
        <v>261</v>
      </c>
      <c r="E35" s="31">
        <v>5</v>
      </c>
    </row>
    <row r="36" spans="2:5" ht="168.75" customHeight="1" thickBot="1">
      <c r="B36" s="28" t="s">
        <v>262</v>
      </c>
      <c r="C36" s="29" t="s">
        <v>263</v>
      </c>
      <c r="D36" s="30" t="s">
        <v>264</v>
      </c>
      <c r="E36" s="31">
        <v>5</v>
      </c>
    </row>
    <row r="37" spans="2:5" ht="96.75" customHeight="1" thickBot="1">
      <c r="B37" s="28" t="s">
        <v>265</v>
      </c>
      <c r="C37" s="29" t="s">
        <v>266</v>
      </c>
      <c r="D37" s="30" t="s">
        <v>267</v>
      </c>
      <c r="E37" s="31">
        <v>4</v>
      </c>
    </row>
    <row r="38" spans="2:5" ht="180.75" customHeight="1" thickBot="1">
      <c r="B38" s="28" t="s">
        <v>268</v>
      </c>
      <c r="C38" s="29" t="s">
        <v>269</v>
      </c>
      <c r="D38" s="30" t="s">
        <v>270</v>
      </c>
      <c r="E38" s="31">
        <v>4</v>
      </c>
    </row>
    <row r="39" spans="2:5" ht="156.75" customHeight="1" thickBot="1">
      <c r="B39" s="28" t="s">
        <v>271</v>
      </c>
      <c r="C39" s="29" t="s">
        <v>272</v>
      </c>
      <c r="D39" s="30" t="s">
        <v>273</v>
      </c>
      <c r="E39" s="31">
        <v>3</v>
      </c>
    </row>
    <row r="40" spans="2:5" ht="108.75" customHeight="1" thickBot="1">
      <c r="B40" s="28" t="s">
        <v>274</v>
      </c>
      <c r="C40" s="29" t="s">
        <v>275</v>
      </c>
      <c r="D40" s="30" t="s">
        <v>276</v>
      </c>
      <c r="E40" s="31">
        <v>4</v>
      </c>
    </row>
    <row r="41" spans="2:5" ht="60.75" customHeight="1" thickBot="1">
      <c r="B41" s="28" t="s">
        <v>277</v>
      </c>
      <c r="C41" s="29" t="s">
        <v>278</v>
      </c>
      <c r="D41" s="30" t="s">
        <v>279</v>
      </c>
      <c r="E41" s="31">
        <v>1</v>
      </c>
    </row>
    <row r="42" spans="2:5" ht="60.75" customHeight="1" thickBot="1">
      <c r="B42" s="28" t="s">
        <v>280</v>
      </c>
      <c r="C42" s="29" t="s">
        <v>281</v>
      </c>
      <c r="D42" s="30" t="s">
        <v>282</v>
      </c>
      <c r="E42" s="31">
        <v>4</v>
      </c>
    </row>
    <row r="43" spans="2:5" ht="48.75" customHeight="1" thickBot="1">
      <c r="B43" s="28" t="s">
        <v>283</v>
      </c>
      <c r="C43" s="29" t="s">
        <v>284</v>
      </c>
      <c r="D43" s="30" t="s">
        <v>285</v>
      </c>
      <c r="E43" s="31">
        <v>4</v>
      </c>
    </row>
    <row r="44" spans="2:5" ht="108.75" customHeight="1" thickBot="1">
      <c r="B44" s="28" t="s">
        <v>286</v>
      </c>
      <c r="C44" s="29" t="s">
        <v>287</v>
      </c>
      <c r="D44" s="30" t="s">
        <v>288</v>
      </c>
      <c r="E44" s="31">
        <v>4</v>
      </c>
    </row>
    <row r="45" spans="2:5" ht="228.75" customHeight="1" thickBot="1">
      <c r="B45" s="28" t="s">
        <v>289</v>
      </c>
      <c r="C45" s="29" t="s">
        <v>290</v>
      </c>
      <c r="D45" s="30" t="s">
        <v>291</v>
      </c>
      <c r="E45" s="31">
        <v>4</v>
      </c>
    </row>
    <row r="46" spans="2:5" ht="132.75" customHeight="1" thickBot="1">
      <c r="B46" s="28" t="s">
        <v>292</v>
      </c>
      <c r="C46" s="29" t="s">
        <v>293</v>
      </c>
      <c r="D46" s="30" t="s">
        <v>294</v>
      </c>
      <c r="E46" s="31">
        <v>3</v>
      </c>
    </row>
    <row r="47" spans="2:5" ht="48.75" customHeight="1" thickBot="1">
      <c r="B47" s="28" t="s">
        <v>295</v>
      </c>
      <c r="C47" s="29" t="s">
        <v>296</v>
      </c>
      <c r="D47" s="30" t="s">
        <v>297</v>
      </c>
      <c r="E47" s="31">
        <v>5</v>
      </c>
    </row>
    <row r="48" spans="2:5" ht="108.75" customHeight="1" thickBot="1">
      <c r="B48" s="28" t="s">
        <v>298</v>
      </c>
      <c r="C48" s="29" t="s">
        <v>299</v>
      </c>
      <c r="D48" s="30" t="s">
        <v>300</v>
      </c>
      <c r="E48" s="31">
        <v>5</v>
      </c>
    </row>
    <row r="49" spans="2:5" ht="96.75" customHeight="1" thickBot="1">
      <c r="B49" s="28" t="s">
        <v>301</v>
      </c>
      <c r="C49" s="29" t="s">
        <v>302</v>
      </c>
      <c r="D49" s="30" t="s">
        <v>303</v>
      </c>
      <c r="E49" s="31">
        <v>5</v>
      </c>
    </row>
    <row r="50" spans="2:5" ht="156.75" customHeight="1" thickBot="1">
      <c r="B50" s="28" t="s">
        <v>304</v>
      </c>
      <c r="C50" s="29" t="s">
        <v>305</v>
      </c>
      <c r="D50" s="30" t="s">
        <v>306</v>
      </c>
      <c r="E50" s="31">
        <v>5</v>
      </c>
    </row>
    <row r="51" spans="2:5" ht="84.75" customHeight="1" thickBot="1">
      <c r="B51" s="28" t="s">
        <v>307</v>
      </c>
      <c r="C51" s="29" t="s">
        <v>308</v>
      </c>
      <c r="D51" s="30" t="s">
        <v>309</v>
      </c>
      <c r="E51" s="31">
        <v>5</v>
      </c>
    </row>
    <row r="52" spans="2:5" ht="156.75" customHeight="1" thickBot="1">
      <c r="B52" s="28" t="s">
        <v>310</v>
      </c>
      <c r="C52" s="29" t="s">
        <v>311</v>
      </c>
      <c r="D52" s="30" t="s">
        <v>312</v>
      </c>
      <c r="E52" s="31">
        <v>5</v>
      </c>
    </row>
    <row r="53" spans="2:5" ht="96.75" customHeight="1" thickBot="1">
      <c r="B53" s="28" t="s">
        <v>313</v>
      </c>
      <c r="C53" s="29" t="s">
        <v>157</v>
      </c>
      <c r="D53" s="30" t="s">
        <v>314</v>
      </c>
      <c r="E53" s="31">
        <v>3</v>
      </c>
    </row>
    <row r="54" spans="2:5" ht="60.75" customHeight="1" thickBot="1">
      <c r="B54" s="28" t="s">
        <v>315</v>
      </c>
      <c r="C54" s="29" t="s">
        <v>316</v>
      </c>
      <c r="D54" s="30" t="s">
        <v>317</v>
      </c>
      <c r="E54" s="31">
        <v>4</v>
      </c>
    </row>
    <row r="55" spans="2:5" ht="84.75" customHeight="1" thickBot="1">
      <c r="B55" s="28" t="s">
        <v>318</v>
      </c>
      <c r="C55" s="29" t="s">
        <v>319</v>
      </c>
      <c r="D55" s="30" t="s">
        <v>320</v>
      </c>
      <c r="E55" s="31">
        <v>5</v>
      </c>
    </row>
    <row r="56" spans="2:5" ht="72.75" customHeight="1" thickBot="1">
      <c r="B56" s="28" t="s">
        <v>321</v>
      </c>
      <c r="C56" s="29" t="s">
        <v>322</v>
      </c>
      <c r="D56" s="30" t="s">
        <v>323</v>
      </c>
      <c r="E56" s="31">
        <v>5</v>
      </c>
    </row>
    <row r="57" spans="2:5" ht="72.75" customHeight="1" thickBot="1">
      <c r="B57" s="28" t="s">
        <v>324</v>
      </c>
      <c r="C57" s="29" t="s">
        <v>325</v>
      </c>
      <c r="D57" s="30" t="s">
        <v>326</v>
      </c>
      <c r="E57" s="31">
        <v>5</v>
      </c>
    </row>
    <row r="58" spans="2:5" ht="48.75" customHeight="1" thickBot="1">
      <c r="B58" s="28" t="s">
        <v>327</v>
      </c>
      <c r="C58" s="29" t="s">
        <v>328</v>
      </c>
      <c r="D58" s="30" t="s">
        <v>329</v>
      </c>
      <c r="E58" s="31">
        <v>5</v>
      </c>
    </row>
    <row r="59" spans="2:5" ht="84.75" customHeight="1" thickBot="1">
      <c r="B59" s="28" t="s">
        <v>330</v>
      </c>
      <c r="C59" s="29" t="s">
        <v>142</v>
      </c>
      <c r="D59" s="30" t="s">
        <v>331</v>
      </c>
      <c r="E59" s="31">
        <v>5</v>
      </c>
    </row>
    <row r="60" spans="2:5" ht="48.75" customHeight="1" thickBot="1">
      <c r="B60" s="28" t="s">
        <v>332</v>
      </c>
      <c r="C60" s="29" t="s">
        <v>333</v>
      </c>
      <c r="D60" s="30" t="s">
        <v>334</v>
      </c>
      <c r="E60" s="31">
        <v>5</v>
      </c>
    </row>
    <row r="61" spans="2:5" ht="108.75" customHeight="1" thickBot="1">
      <c r="B61" s="28" t="s">
        <v>335</v>
      </c>
      <c r="C61" s="29" t="s">
        <v>19</v>
      </c>
      <c r="D61" s="30" t="s">
        <v>336</v>
      </c>
      <c r="E61" s="31">
        <v>3</v>
      </c>
    </row>
    <row r="62" spans="2:5" ht="72.75" customHeight="1" thickBot="1">
      <c r="B62" s="28" t="s">
        <v>337</v>
      </c>
      <c r="C62" s="29" t="s">
        <v>338</v>
      </c>
      <c r="D62" s="30" t="s">
        <v>339</v>
      </c>
      <c r="E62" s="31">
        <v>5</v>
      </c>
    </row>
    <row r="63" spans="2:5" ht="60.75" customHeight="1" thickBot="1">
      <c r="B63" s="28" t="s">
        <v>340</v>
      </c>
      <c r="C63" s="29" t="s">
        <v>341</v>
      </c>
      <c r="D63" s="30" t="s">
        <v>342</v>
      </c>
      <c r="E63" s="31">
        <v>4</v>
      </c>
    </row>
    <row r="64" spans="2:5" ht="120.75" customHeight="1" thickBot="1">
      <c r="B64" s="28" t="s">
        <v>343</v>
      </c>
      <c r="C64" s="29" t="s">
        <v>15</v>
      </c>
      <c r="D64" s="30" t="s">
        <v>344</v>
      </c>
      <c r="E64" s="31">
        <v>3</v>
      </c>
    </row>
    <row r="65" spans="2:5" ht="180.75" customHeight="1" thickBot="1">
      <c r="B65" s="28" t="s">
        <v>345</v>
      </c>
      <c r="C65" s="29" t="s">
        <v>11</v>
      </c>
      <c r="D65" s="30" t="s">
        <v>346</v>
      </c>
      <c r="E65" s="31">
        <v>3</v>
      </c>
    </row>
    <row r="66" spans="2:5" ht="120.75" customHeight="1" thickBot="1">
      <c r="B66" s="28" t="s">
        <v>347</v>
      </c>
      <c r="C66" s="29" t="s">
        <v>16</v>
      </c>
      <c r="D66" s="30" t="s">
        <v>348</v>
      </c>
      <c r="E66" s="31">
        <v>3</v>
      </c>
    </row>
    <row r="67" spans="2:5" ht="120.75" customHeight="1" thickBot="1">
      <c r="B67" s="28" t="s">
        <v>349</v>
      </c>
      <c r="C67" s="29" t="s">
        <v>7</v>
      </c>
      <c r="D67" s="30" t="s">
        <v>350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0"/>
  <sheetViews>
    <sheetView workbookViewId="0">
      <selection activeCell="F13" sqref="F13"/>
    </sheetView>
  </sheetViews>
  <sheetFormatPr defaultColWidth="10.77734375" defaultRowHeight="13.5"/>
  <cols>
    <col min="3" max="3" width="16.6640625" customWidth="1"/>
    <col min="4" max="4" width="90.44140625" bestFit="1" customWidth="1"/>
    <col min="5" max="5" width="7.109375" customWidth="1"/>
    <col min="6" max="6" width="90.44140625" bestFit="1" customWidth="1"/>
  </cols>
  <sheetData>
    <row r="2" spans="2:9">
      <c r="B2" s="4" t="s">
        <v>24</v>
      </c>
      <c r="C2" s="4" t="s">
        <v>25</v>
      </c>
      <c r="D2" s="4" t="s">
        <v>26</v>
      </c>
      <c r="E2" s="4" t="s">
        <v>27</v>
      </c>
      <c r="F2" s="4" t="s">
        <v>376</v>
      </c>
    </row>
    <row r="3" spans="2:9">
      <c r="B3" s="5" t="s">
        <v>28</v>
      </c>
      <c r="C3" s="5" t="s">
        <v>29</v>
      </c>
      <c r="D3" s="5" t="s">
        <v>30</v>
      </c>
      <c r="E3" s="5" t="s">
        <v>12</v>
      </c>
      <c r="F3" s="43"/>
      <c r="I3" s="9" t="s">
        <v>159</v>
      </c>
    </row>
    <row r="4" spans="2:9">
      <c r="B4" s="5" t="s">
        <v>31</v>
      </c>
      <c r="C4" s="5" t="s">
        <v>32</v>
      </c>
      <c r="D4" s="5" t="s">
        <v>33</v>
      </c>
      <c r="E4" s="5" t="s">
        <v>12</v>
      </c>
      <c r="F4" s="43"/>
      <c r="I4" s="9" t="s">
        <v>151</v>
      </c>
    </row>
    <row r="5" spans="2:9">
      <c r="B5" s="5" t="s">
        <v>34</v>
      </c>
      <c r="C5" s="5" t="s">
        <v>35</v>
      </c>
      <c r="D5" s="5" t="s">
        <v>36</v>
      </c>
      <c r="E5" s="5" t="s">
        <v>12</v>
      </c>
      <c r="F5" s="43"/>
    </row>
    <row r="6" spans="2:9">
      <c r="B6" s="5" t="s">
        <v>37</v>
      </c>
      <c r="C6" s="5" t="s">
        <v>38</v>
      </c>
      <c r="D6" s="5" t="s">
        <v>39</v>
      </c>
      <c r="E6" s="5" t="s">
        <v>12</v>
      </c>
      <c r="F6" s="43"/>
    </row>
    <row r="7" spans="2:9" ht="36">
      <c r="B7" s="5" t="s">
        <v>40</v>
      </c>
      <c r="C7" s="5" t="s">
        <v>41</v>
      </c>
      <c r="D7" s="5" t="s">
        <v>42</v>
      </c>
      <c r="E7" s="5" t="s">
        <v>12</v>
      </c>
      <c r="F7" s="44" t="s">
        <v>377</v>
      </c>
    </row>
    <row r="8" spans="2:9">
      <c r="B8" s="5" t="s">
        <v>43</v>
      </c>
      <c r="C8" s="5" t="s">
        <v>44</v>
      </c>
      <c r="D8" s="5" t="s">
        <v>45</v>
      </c>
      <c r="E8" s="5" t="s">
        <v>12</v>
      </c>
      <c r="F8" s="43"/>
    </row>
    <row r="9" spans="2:9">
      <c r="B9" s="5" t="s">
        <v>46</v>
      </c>
      <c r="C9" s="5" t="s">
        <v>47</v>
      </c>
      <c r="D9" s="5" t="s">
        <v>48</v>
      </c>
      <c r="E9" s="5" t="s">
        <v>12</v>
      </c>
      <c r="F9" s="43"/>
    </row>
    <row r="10" spans="2:9" ht="24">
      <c r="B10" s="5" t="s">
        <v>49</v>
      </c>
      <c r="C10" s="5" t="s">
        <v>50</v>
      </c>
      <c r="D10" s="5" t="s">
        <v>51</v>
      </c>
      <c r="E10" s="5" t="s">
        <v>8</v>
      </c>
      <c r="F10" s="44" t="s">
        <v>378</v>
      </c>
    </row>
    <row r="11" spans="2:9">
      <c r="B11" s="5" t="s">
        <v>52</v>
      </c>
      <c r="C11" s="5" t="s">
        <v>53</v>
      </c>
      <c r="D11" s="5" t="s">
        <v>54</v>
      </c>
      <c r="E11" s="5" t="s">
        <v>8</v>
      </c>
      <c r="F11" s="43"/>
    </row>
    <row r="12" spans="2:9">
      <c r="B12" s="5" t="s">
        <v>55</v>
      </c>
      <c r="C12" s="5" t="s">
        <v>56</v>
      </c>
      <c r="D12" s="5" t="s">
        <v>57</v>
      </c>
      <c r="E12" s="5" t="s">
        <v>10</v>
      </c>
      <c r="F12" s="43" t="s">
        <v>379</v>
      </c>
    </row>
    <row r="13" spans="2:9" ht="36">
      <c r="B13" s="5" t="s">
        <v>20</v>
      </c>
      <c r="C13" s="5" t="s">
        <v>21</v>
      </c>
      <c r="D13" s="5" t="s">
        <v>58</v>
      </c>
      <c r="E13" s="5" t="s">
        <v>10</v>
      </c>
      <c r="F13" s="44" t="s">
        <v>380</v>
      </c>
    </row>
    <row r="14" spans="2:9">
      <c r="B14" s="5" t="s">
        <v>59</v>
      </c>
      <c r="C14" s="5" t="s">
        <v>60</v>
      </c>
      <c r="D14" s="5" t="s">
        <v>61</v>
      </c>
      <c r="E14" s="5" t="s">
        <v>10</v>
      </c>
      <c r="F14" s="43" t="s">
        <v>381</v>
      </c>
    </row>
    <row r="15" spans="2:9">
      <c r="B15" s="5" t="s">
        <v>62</v>
      </c>
      <c r="C15" s="5" t="s">
        <v>9</v>
      </c>
      <c r="D15" s="5" t="s">
        <v>63</v>
      </c>
      <c r="E15" s="5" t="s">
        <v>10</v>
      </c>
      <c r="F15" s="43"/>
    </row>
    <row r="16" spans="2:9">
      <c r="B16" s="5" t="s">
        <v>64</v>
      </c>
      <c r="C16" s="5" t="s">
        <v>65</v>
      </c>
      <c r="D16" s="5" t="s">
        <v>66</v>
      </c>
      <c r="E16" s="5" t="s">
        <v>8</v>
      </c>
      <c r="F16" s="43"/>
    </row>
    <row r="17" spans="2:6">
      <c r="B17" s="5" t="s">
        <v>67</v>
      </c>
      <c r="C17" s="5" t="s">
        <v>68</v>
      </c>
      <c r="D17" s="5" t="s">
        <v>69</v>
      </c>
      <c r="E17" s="5" t="s">
        <v>10</v>
      </c>
      <c r="F17" s="43"/>
    </row>
    <row r="18" spans="2:6">
      <c r="B18" s="5" t="s">
        <v>70</v>
      </c>
      <c r="C18" s="5" t="s">
        <v>71</v>
      </c>
      <c r="D18" s="5" t="s">
        <v>72</v>
      </c>
      <c r="E18" s="5" t="s">
        <v>10</v>
      </c>
      <c r="F18" s="43" t="s">
        <v>382</v>
      </c>
    </row>
    <row r="19" spans="2:6">
      <c r="B19" s="5" t="s">
        <v>73</v>
      </c>
      <c r="C19" s="5" t="s">
        <v>14</v>
      </c>
      <c r="D19" s="5" t="s">
        <v>74</v>
      </c>
      <c r="E19" s="5" t="s">
        <v>10</v>
      </c>
      <c r="F19" s="43"/>
    </row>
    <row r="20" spans="2:6">
      <c r="B20" s="5" t="s">
        <v>75</v>
      </c>
      <c r="C20" s="5" t="s">
        <v>76</v>
      </c>
      <c r="D20" s="5" t="s">
        <v>77</v>
      </c>
      <c r="E20" s="5" t="s">
        <v>8</v>
      </c>
      <c r="F20" s="43" t="s">
        <v>383</v>
      </c>
    </row>
    <row r="21" spans="2:6">
      <c r="B21" s="5" t="s">
        <v>78</v>
      </c>
      <c r="C21" s="5" t="s">
        <v>79</v>
      </c>
      <c r="D21" s="5" t="s">
        <v>80</v>
      </c>
      <c r="E21" s="5" t="s">
        <v>8</v>
      </c>
      <c r="F21" s="43" t="s">
        <v>384</v>
      </c>
    </row>
    <row r="22" spans="2:6">
      <c r="B22" s="5" t="s">
        <v>81</v>
      </c>
      <c r="C22" s="5" t="s">
        <v>82</v>
      </c>
      <c r="D22" s="5" t="s">
        <v>83</v>
      </c>
      <c r="E22" s="5" t="s">
        <v>10</v>
      </c>
      <c r="F22" s="43"/>
    </row>
    <row r="23" spans="2:6">
      <c r="B23" s="5" t="s">
        <v>84</v>
      </c>
      <c r="C23" s="5" t="s">
        <v>85</v>
      </c>
      <c r="D23" s="5" t="s">
        <v>86</v>
      </c>
      <c r="E23" s="5" t="s">
        <v>12</v>
      </c>
      <c r="F23" s="43" t="s">
        <v>385</v>
      </c>
    </row>
    <row r="24" spans="2:6">
      <c r="B24" s="5" t="s">
        <v>87</v>
      </c>
      <c r="C24" s="5" t="s">
        <v>13</v>
      </c>
      <c r="D24" s="5" t="s">
        <v>88</v>
      </c>
      <c r="E24" s="5" t="s">
        <v>12</v>
      </c>
      <c r="F24" s="43" t="s">
        <v>386</v>
      </c>
    </row>
    <row r="25" spans="2:6">
      <c r="B25" s="5" t="s">
        <v>89</v>
      </c>
      <c r="C25" s="5" t="s">
        <v>90</v>
      </c>
      <c r="D25" s="5" t="s">
        <v>91</v>
      </c>
      <c r="E25" s="5" t="s">
        <v>8</v>
      </c>
      <c r="F25" s="43" t="s">
        <v>387</v>
      </c>
    </row>
    <row r="26" spans="2:6">
      <c r="B26" s="5" t="s">
        <v>92</v>
      </c>
      <c r="C26" s="5" t="s">
        <v>93</v>
      </c>
      <c r="D26" s="5" t="s">
        <v>94</v>
      </c>
      <c r="E26" s="5" t="s">
        <v>12</v>
      </c>
      <c r="F26" s="43"/>
    </row>
    <row r="27" spans="2:6">
      <c r="B27" s="5" t="s">
        <v>95</v>
      </c>
      <c r="C27" s="5" t="s">
        <v>96</v>
      </c>
      <c r="D27" s="5" t="s">
        <v>97</v>
      </c>
      <c r="E27" s="5" t="s">
        <v>8</v>
      </c>
      <c r="F27" s="43" t="s">
        <v>388</v>
      </c>
    </row>
    <row r="28" spans="2:6">
      <c r="B28" s="5" t="s">
        <v>98</v>
      </c>
      <c r="C28" s="5" t="s">
        <v>99</v>
      </c>
      <c r="D28" s="5" t="s">
        <v>100</v>
      </c>
      <c r="E28" s="5" t="s">
        <v>10</v>
      </c>
      <c r="F28" s="43" t="s">
        <v>389</v>
      </c>
    </row>
    <row r="29" spans="2:6">
      <c r="B29" s="5" t="s">
        <v>101</v>
      </c>
      <c r="C29" s="5" t="s">
        <v>102</v>
      </c>
      <c r="D29" s="5" t="s">
        <v>103</v>
      </c>
      <c r="E29" s="5" t="s">
        <v>10</v>
      </c>
      <c r="F29" s="43"/>
    </row>
    <row r="30" spans="2:6">
      <c r="B30" s="5" t="s">
        <v>104</v>
      </c>
      <c r="C30" s="6" t="s">
        <v>15</v>
      </c>
      <c r="D30" s="5" t="s">
        <v>105</v>
      </c>
      <c r="E30" s="5" t="s">
        <v>8</v>
      </c>
      <c r="F30" s="43" t="s">
        <v>390</v>
      </c>
    </row>
    <row r="31" spans="2:6">
      <c r="B31" s="5" t="s">
        <v>106</v>
      </c>
      <c r="C31" s="6" t="s">
        <v>11</v>
      </c>
      <c r="D31" s="5" t="s">
        <v>107</v>
      </c>
      <c r="E31" s="5" t="s">
        <v>8</v>
      </c>
      <c r="F31" s="43" t="s">
        <v>391</v>
      </c>
    </row>
    <row r="32" spans="2:6">
      <c r="B32" s="5" t="s">
        <v>108</v>
      </c>
      <c r="C32" s="6" t="s">
        <v>16</v>
      </c>
      <c r="D32" s="5" t="s">
        <v>109</v>
      </c>
      <c r="E32" s="5" t="s">
        <v>8</v>
      </c>
      <c r="F32" s="43"/>
    </row>
    <row r="33" spans="2:6">
      <c r="B33" s="5" t="s">
        <v>110</v>
      </c>
      <c r="C33" s="6" t="s">
        <v>7</v>
      </c>
      <c r="D33" s="5" t="s">
        <v>111</v>
      </c>
      <c r="E33" s="5" t="s">
        <v>8</v>
      </c>
      <c r="F33" s="43" t="s">
        <v>392</v>
      </c>
    </row>
    <row r="34" spans="2:6">
      <c r="B34" s="5" t="s">
        <v>112</v>
      </c>
      <c r="C34" s="5" t="s">
        <v>113</v>
      </c>
      <c r="D34" s="7" t="s">
        <v>114</v>
      </c>
      <c r="E34" s="5" t="s">
        <v>8</v>
      </c>
      <c r="F34" s="45" t="s">
        <v>393</v>
      </c>
    </row>
    <row r="35" spans="2:6">
      <c r="B35" s="5" t="s">
        <v>115</v>
      </c>
      <c r="C35" s="5" t="s">
        <v>116</v>
      </c>
      <c r="D35" s="5" t="s">
        <v>117</v>
      </c>
      <c r="E35" s="5" t="s">
        <v>8</v>
      </c>
      <c r="F35" s="43" t="s">
        <v>394</v>
      </c>
    </row>
    <row r="36" spans="2:6" ht="36">
      <c r="B36" s="5" t="s">
        <v>153</v>
      </c>
      <c r="C36" s="5" t="s">
        <v>160</v>
      </c>
      <c r="D36" s="5" t="s">
        <v>154</v>
      </c>
      <c r="E36" s="5" t="s">
        <v>155</v>
      </c>
      <c r="F36" s="44" t="s">
        <v>395</v>
      </c>
    </row>
    <row r="37" spans="2:6">
      <c r="B37" s="5" t="s">
        <v>156</v>
      </c>
      <c r="C37" s="39" t="s">
        <v>157</v>
      </c>
      <c r="D37" s="5" t="s">
        <v>161</v>
      </c>
      <c r="E37" s="5" t="s">
        <v>158</v>
      </c>
      <c r="F37" s="43" t="s">
        <v>396</v>
      </c>
    </row>
    <row r="38" spans="2:6">
      <c r="B38" s="5" t="s">
        <v>370</v>
      </c>
      <c r="C38" s="39" t="s">
        <v>371</v>
      </c>
      <c r="D38" s="5" t="s">
        <v>372</v>
      </c>
      <c r="E38" s="5" t="s">
        <v>158</v>
      </c>
      <c r="F38" s="43"/>
    </row>
    <row r="39" spans="2:6">
      <c r="B39" s="5" t="s">
        <v>374</v>
      </c>
      <c r="C39" s="39" t="s">
        <v>375</v>
      </c>
      <c r="D39" s="5"/>
      <c r="E39" s="5" t="s">
        <v>155</v>
      </c>
      <c r="F39" s="43" t="s">
        <v>397</v>
      </c>
    </row>
    <row r="40" spans="2:6">
      <c r="B40" s="5" t="s">
        <v>162</v>
      </c>
      <c r="C40" s="5" t="s">
        <v>118</v>
      </c>
      <c r="D40" s="5" t="s">
        <v>119</v>
      </c>
      <c r="E40" s="5" t="s">
        <v>10</v>
      </c>
      <c r="F40" s="43" t="s">
        <v>398</v>
      </c>
    </row>
    <row r="41" spans="2:6">
      <c r="B41" s="5" t="s">
        <v>120</v>
      </c>
      <c r="C41" s="5" t="s">
        <v>121</v>
      </c>
      <c r="D41" s="5" t="s">
        <v>122</v>
      </c>
      <c r="E41" s="5" t="s">
        <v>18</v>
      </c>
      <c r="F41" s="43" t="s">
        <v>399</v>
      </c>
    </row>
    <row r="42" spans="2:6">
      <c r="B42" s="5" t="s">
        <v>123</v>
      </c>
      <c r="C42" s="5" t="s">
        <v>124</v>
      </c>
      <c r="D42" s="5" t="s">
        <v>125</v>
      </c>
      <c r="E42" s="5" t="s">
        <v>8</v>
      </c>
      <c r="F42" s="43" t="s">
        <v>400</v>
      </c>
    </row>
    <row r="43" spans="2:6">
      <c r="B43" s="5" t="s">
        <v>126</v>
      </c>
      <c r="C43" s="5" t="s">
        <v>127</v>
      </c>
      <c r="D43" s="5" t="s">
        <v>128</v>
      </c>
      <c r="E43" s="5" t="s">
        <v>8</v>
      </c>
      <c r="F43" s="43" t="s">
        <v>401</v>
      </c>
    </row>
    <row r="44" spans="2:6">
      <c r="B44" s="5" t="s">
        <v>129</v>
      </c>
      <c r="C44" s="5" t="s">
        <v>130</v>
      </c>
      <c r="D44" s="5" t="s">
        <v>131</v>
      </c>
      <c r="E44" s="5" t="s">
        <v>10</v>
      </c>
      <c r="F44" s="43" t="s">
        <v>402</v>
      </c>
    </row>
    <row r="45" spans="2:6">
      <c r="B45" s="5" t="s">
        <v>132</v>
      </c>
      <c r="C45" s="5" t="s">
        <v>133</v>
      </c>
      <c r="D45" s="5" t="s">
        <v>134</v>
      </c>
      <c r="E45" s="5" t="s">
        <v>18</v>
      </c>
      <c r="F45" s="43" t="s">
        <v>403</v>
      </c>
    </row>
    <row r="46" spans="2:6">
      <c r="B46" s="5" t="s">
        <v>135</v>
      </c>
      <c r="C46" s="5" t="s">
        <v>136</v>
      </c>
      <c r="D46" s="5" t="s">
        <v>137</v>
      </c>
      <c r="E46" s="5" t="s">
        <v>12</v>
      </c>
      <c r="F46" s="43" t="s">
        <v>404</v>
      </c>
    </row>
    <row r="47" spans="2:6">
      <c r="B47" s="5" t="s">
        <v>138</v>
      </c>
      <c r="C47" s="5" t="s">
        <v>139</v>
      </c>
      <c r="D47" s="5" t="s">
        <v>140</v>
      </c>
      <c r="E47" s="5" t="s">
        <v>8</v>
      </c>
      <c r="F47" s="43" t="s">
        <v>405</v>
      </c>
    </row>
    <row r="48" spans="2:6">
      <c r="B48" s="5" t="s">
        <v>141</v>
      </c>
      <c r="C48" s="5" t="s">
        <v>142</v>
      </c>
      <c r="D48" s="5" t="s">
        <v>143</v>
      </c>
      <c r="E48" s="5" t="s">
        <v>10</v>
      </c>
      <c r="F48" s="43" t="s">
        <v>406</v>
      </c>
    </row>
    <row r="49" spans="2:6">
      <c r="B49" s="5" t="s">
        <v>144</v>
      </c>
      <c r="C49" s="5" t="s">
        <v>145</v>
      </c>
      <c r="D49" s="5" t="s">
        <v>146</v>
      </c>
      <c r="E49" s="5" t="s">
        <v>8</v>
      </c>
      <c r="F49" s="43" t="s">
        <v>407</v>
      </c>
    </row>
    <row r="50" spans="2:6">
      <c r="B50" s="5" t="s">
        <v>147</v>
      </c>
      <c r="C50" s="5" t="s">
        <v>19</v>
      </c>
      <c r="D50" s="5" t="s">
        <v>148</v>
      </c>
      <c r="E50" s="5" t="s">
        <v>8</v>
      </c>
      <c r="F50" s="43" t="s">
        <v>408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CF67C7-4EC2-403D-B638-0EA263386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20b86-4d37-4d17-978c-08384d115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87EECC-240C-4928-8979-A0FCBFEAA083}">
  <ds:schemaRefs>
    <ds:schemaRef ds:uri="http://schemas.microsoft.com/office/2006/metadata/properties"/>
    <ds:schemaRef ds:uri="http://schemas.microsoft.com/office/infopath/2007/PartnerControls"/>
    <ds:schemaRef ds:uri="f6b20b86-4d37-4d17-978c-08384d115b2c"/>
  </ds:schemaRefs>
</ds:datastoreItem>
</file>

<file path=customXml/itemProps3.xml><?xml version="1.0" encoding="utf-8"?>
<ds:datastoreItem xmlns:ds="http://schemas.openxmlformats.org/officeDocument/2006/customXml" ds:itemID="{5812C5DF-96F7-42BD-AEB8-C584A2E3F4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01. 대상정보</vt:lpstr>
      <vt:lpstr>02. 취약점 상세</vt:lpstr>
      <vt:lpstr>TMPL_취약점 상세</vt:lpstr>
      <vt:lpstr>04. 전자금융 체크리스트(수정x)</vt:lpstr>
      <vt:lpstr>03. 범용 체크리스트(수정X)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박준태/B2B영업팀/212458</dc:creator>
  <cp:lastModifiedBy>박준태(모의해킹 (품질관리/기술지원)) - B2B영업팀</cp:lastModifiedBy>
  <cp:lastPrinted>2020-04-20T07:45:33Z</cp:lastPrinted>
  <dcterms:created xsi:type="dcterms:W3CDTF">2011-10-23T23:52:17Z</dcterms:created>
  <dcterms:modified xsi:type="dcterms:W3CDTF">2025-06-20T00:27:44Z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</Properties>
</file>