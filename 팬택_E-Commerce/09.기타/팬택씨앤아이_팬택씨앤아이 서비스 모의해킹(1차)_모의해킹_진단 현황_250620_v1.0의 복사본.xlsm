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OneDrive\바탕 화면\"/>
    </mc:Choice>
  </mc:AlternateContent>
  <xr:revisionPtr revIDLastSave="0" documentId="13_ncr:1_{E0F7CDA9-6B62-44EE-92D6-41920316DAE0}" xr6:coauthVersionLast="47" xr6:coauthVersionMax="47" xr10:uidLastSave="{00000000-0000-0000-0000-000000000000}"/>
  <bookViews>
    <workbookView xWindow="-28920" yWindow="-120" windowWidth="29040" windowHeight="15720" activeTab="1" xr2:uid="{2FA97C8E-42C0-4E9B-82EB-1BE8B9E1D0BB}"/>
  </bookViews>
  <sheets>
    <sheet name="01. 대상정보" sheetId="109" r:id="rId1"/>
    <sheet name="02. 취약점 상세" sheetId="123" r:id="rId2"/>
    <sheet name="Sheet2" sheetId="129" r:id="rId3"/>
    <sheet name="TMPL_취약점 상세" sheetId="127" state="hidden" r:id="rId4"/>
    <sheet name="04. 전자금융 체크리스트(수정x)" sheetId="124" state="hidden" r:id="rId5"/>
    <sheet name="03. 범용 체크리스트(수정X)" sheetId="120" state="hidden" r:id="rId6"/>
  </sheets>
  <definedNames>
    <definedName name="_xlnm._FilterDatabase" localSheetId="1" hidden="1">'02. 취약점 상세'!$A$2:$W$105</definedName>
    <definedName name="_xlnm._FilterDatabase" localSheetId="3" hidden="1">'TMPL_취약점 상세'!$A$2:$V$3</definedName>
  </definedNames>
  <calcPr calcId="191029"/>
  <pivotCaches>
    <pivotCache cacheId="0" r:id="rId7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<sst xmlns="http://schemas.openxmlformats.org/spreadsheetml/2006/main" count="2368" uniqueCount="776">
  <si>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</si>
  <si>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</si>
  <si>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</si>
  <si>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</si>
  <si>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</si>
  <si>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</si>
  <si>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</si>
  <si>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</si>
  <si>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</si>
  <si>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</si>
  <si>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</si>
  <si>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</si>
  <si>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</si>
  <si>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</si>
  <si>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</si>
  <si>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</si>
  <si>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</si>
  <si>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</si>
  <si>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</si>
  <si>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</si>
  <si>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</si>
  <si>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</si>
  <si>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</si>
  <si>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</si>
  <si>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</si>
  <si>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</si>
  <si>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</si>
  <si>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</si>
  <si>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</si>
  <si>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</si>
  <si>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</si>
  <si>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</si>
  <si>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</si>
  <si>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</si>
  <si>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</si>
  <si>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</si>
  <si>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</si>
  <si>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</si>
  <si>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</si>
  <si>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</si>
  <si>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</si>
  <si>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</si>
  <si>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</si>
  <si>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</si>
  <si>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</si>
  <si>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</si>
  <si>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</si>
  <si>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</si>
  <si>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</si>
  <si>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</si>
  <si>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</si>
  <si>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</si>
  <si>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</si>
  <si>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</si>
  <si>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</si>
  <si>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</si>
  <si>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</si>
  <si>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</si>
  <si>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</si>
  <si>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</si>
  <si>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</si>
  <si>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</si>
  <si>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</si>
  <si>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</si>
  <si>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</si>
  <si>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</si>
  <si>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</si>
  <si>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</si>
  <si>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</si>
  <si>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</si>
  <si>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</si>
  <si>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</si>
  <si>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</si>
  <si>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</si>
  <si>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</si>
  <si>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</si>
  <si>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</si>
  <si>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</si>
  <si>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</si>
  <si>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</si>
  <si>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</si>
  <si>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</si>
  <si>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</si>
  <si>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</si>
  <si>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</si>
  <si>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</si>
  <si>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</si>
  <si>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</si>
  <si>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</si>
  <si>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</si>
  <si>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</si>
  <si>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</si>
  <si>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</si>
  <si>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</si>
  <si>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</si>
  <si>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</si>
  <si>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</si>
  <si>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</si>
  <si>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</si>
  <si>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</si>
  <si>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</si>
  <si>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</si>
  <si>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</si>
  <si>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</si>
  <si>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</si>
  <si>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</si>
  <si>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</si>
  <si>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</si>
  <si>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</si>
  <si>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</si>
  <si>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</si>
  <si>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</si>
  <si>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</si>
  <si>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</si>
  <si>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</si>
  <si>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</si>
  <si>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</si>
  <si>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</si>
  <si>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</si>
  <si>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</si>
  <si>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</si>
  <si>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</si>
  <si>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</si>
  <si>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</si>
  <si>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</si>
  <si>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</si>
  <si>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</si>
  <si>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</si>
  <si>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</si>
  <si>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</si>
  <si>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</si>
  <si>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</si>
  <si>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</si>
  <si>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</si>
  <si>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</si>
  <si>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</si>
  <si>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</si>
  <si>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</si>
  <si>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</si>
  <si>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</si>
  <si>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</si>
  <si>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</si>
  <si>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</si>
  <si>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</si>
  <si>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</si>
  <si>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</si>
  <si>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</si>
  <si>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</si>
  <si>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</si>
  <si>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</si>
  <si>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</si>
  <si>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</si>
  <si>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</si>
  <si>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</si>
  <si>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</si>
  <si>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</si>
  <si>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</si>
  <si>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</si>
  <si>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</si>
  <si>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</si>
  <si>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</si>
  <si>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</si>
  <si>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</si>
  <si>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</si>
  <si>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</si>
  <si>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</si>
  <si>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</si>
  <si>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</si>
  <si>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</si>
  <si>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</si>
  <si>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</si>
  <si>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</si>
  <si>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</si>
  <si>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</si>
  <si>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</si>
  <si>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</si>
  <si>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</si>
  <si>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</si>
  <si>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</si>
  <si>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</si>
  <si>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</si>
  <si>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</si>
  <si>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</si>
  <si>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</si>
  <si>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</si>
  <si>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</si>
  <si>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</si>
  <si>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</si>
  <si>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</si>
  <si>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</si>
  <si>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</si>
  <si>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</si>
  <si>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</si>
  <si>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</si>
  <si>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</si>
  <si>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</si>
  <si>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</si>
  <si>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</si>
  <si>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</si>
  <si>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</si>
  <si>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</si>
  <si>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</si>
  <si>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</si>
  <si>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</si>
  <si>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</si>
  <si>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</si>
  <si>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</si>
  <si>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</si>
  <si>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</si>
  <si>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</si>
  <si>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</si>
  <si>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</si>
  <si>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</si>
  <si>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</si>
  <si>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</si>
  <si>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</si>
  <si>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</si>
  <si>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</si>
  <si>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</si>
  <si>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</si>
  <si>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</si>
  <si>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</si>
  <si>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</si>
  <si>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</si>
  <si>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</si>
  <si>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</si>
  <si>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</si>
  <si>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</si>
  <si>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</si>
  <si>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</si>
  <si>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</si>
  <si>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</si>
  <si>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</si>
  <si>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</si>
  <si>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</si>
  <si>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</si>
  <si>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</si>
  <si>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</si>
  <si>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</si>
  <si>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</si>
  <si>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</si>
  <si>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</si>
  <si>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</si>
  <si>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</si>
  <si>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</si>
  <si>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</si>
  <si>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</si>
  <si>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</si>
  <si>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</si>
  <si>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</si>
  <si>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</si>
  <si>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</si>
  <si>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</si>
  <si>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</si>
  <si>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</si>
  <si>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</si>
  <si>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</si>
  <si>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</si>
  <si>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</si>
  <si>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</si>
  <si>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</si>
  <si>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</si>
  <si>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</si>
  <si>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</si>
  <si>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</si>
  <si>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</si>
  <si>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</si>
  <si>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</si>
  <si>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</si>
  <si>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</si>
  <si>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</si>
  <si>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</si>
  <si>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</si>
  <si>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</si>
  <si>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</si>
  <si>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</si>
  <si>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</si>
  <si>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</si>
  <si>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</si>
  <si>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</si>
  <si>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</si>
  <si>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</si>
  <si>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</si>
  <si>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</si>
  <si>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</si>
  <si>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</si>
  <si>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</si>
  <si>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</si>
  <si>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</si>
  <si>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</si>
  <si>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</si>
  <si>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</si>
  <si>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</si>
  <si>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</si>
  <si>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</si>
  <si>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</si>
  <si>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</si>
  <si>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</si>
  <si>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</si>
  <si>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</si>
  <si>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</si>
  <si>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</si>
  <si>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</si>
  <si>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</si>
  <si>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</si>
  <si>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</si>
  <si>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</si>
  <si>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</si>
  <si>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</si>
  <si>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</si>
  <si>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</si>
  <si>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</si>
  <si>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</si>
  <si>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</si>
  <si>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</si>
  <si>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</si>
  <si>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</si>
  <si>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</si>
  <si>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</si>
  <si>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</si>
  <si>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</si>
  <si>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</si>
  <si>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</si>
  <si>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</si>
  <si>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</si>
  <si>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</si>
  <si>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</si>
  <si>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</si>
  <si>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</si>
  <si>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</si>
  <si>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</si>
  <si>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</si>
  <si>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</si>
  <si>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</si>
  <si>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</si>
  <si>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</si>
  <si>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</si>
  <si>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</si>
  <si>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</si>
  <si>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</si>
  <si>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</si>
  <si>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</si>
  <si>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</si>
  <si>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</si>
  <si>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</si>
  <si>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</si>
  <si>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</si>
  <si>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</si>
  <si>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</si>
  <si>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</si>
  <si>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</si>
  <si>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</si>
  <si>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</si>
  <si>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</si>
  <si>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</si>
  <si>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</si>
  <si>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</si>
  <si>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</si>
  <si>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</si>
  <si>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</si>
  <si>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</si>
  <si>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</si>
  <si>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</si>
  <si>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</si>
  <si>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</si>
  <si>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</si>
  <si>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</si>
  <si>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</si>
  <si>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</si>
  <si>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</si>
  <si>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</si>
  <si>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</si>
  <si>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</si>
  <si>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</si>
  <si>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</si>
  <si>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</si>
  <si>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</si>
  <si>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</si>
  <si>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</si>
  <si>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</si>
  <si>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</si>
  <si>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</si>
  <si>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</si>
  <si>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</si>
  <si>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</si>
  <si>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</si>
  <si>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</si>
  <si>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</si>
  <si>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</si>
  <si>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</si>
  <si>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</si>
  <si>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</si>
  <si>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</si>
  <si>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</si>
  <si>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</si>
  <si>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</si>
  <si>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</si>
  <si>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</si>
  <si>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</si>
  <si>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</si>
  <si>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</si>
  <si>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</si>
  <si>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</si>
  <si>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</si>
  <si>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</si>
  <si>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</si>
  <si>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</si>
  <si>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</si>
  <si>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</si>
  <si>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팬택씨앤아이</t>
  </si>
  <si>
    <t>팬택씨앤아이</t>
    <phoneticPr fontId="54" type="noConversion"/>
  </si>
  <si>
    <t>고객사</t>
    <phoneticPr fontId="53" type="noConversion"/>
  </si>
  <si>
    <t>W-129</t>
    <phoneticPr fontId="54" type="noConversion"/>
  </si>
  <si>
    <t>01a29a</t>
  </si>
  <si>
    <t>W-009</t>
    <phoneticPr fontId="54" type="noConversion"/>
  </si>
  <si>
    <t>01a09a</t>
  </si>
  <si>
    <t>서버 보안</t>
    <phoneticPr fontId="54" type="noConversion"/>
  </si>
  <si>
    <t>https://devadmin.okplaza.kr/SmartEditor/SmartEditor2.html</t>
    <phoneticPr fontId="54" type="noConversion"/>
  </si>
  <si>
    <t>SmartEditor 샘플 페이지</t>
    <phoneticPr fontId="54" type="noConversion"/>
  </si>
  <si>
    <t>SmartEditor 샘플 페이지 접근 시 접근이 가능함</t>
    <phoneticPr fontId="54" type="noConversion"/>
  </si>
  <si>
    <t>CASE1</t>
    <phoneticPr fontId="54" type="noConversion"/>
  </si>
  <si>
    <t>에디터 샘플 페이지 노출</t>
    <phoneticPr fontId="54" type="noConversion"/>
  </si>
  <si>
    <t>CASE2</t>
    <phoneticPr fontId="54" type="noConversion"/>
  </si>
  <si>
    <t>CASE3</t>
    <phoneticPr fontId="54" type="noConversion"/>
  </si>
  <si>
    <t>응답 헤더 내 서버 버전정보 노출</t>
  </si>
  <si>
    <t>에러 페이지 내 서버 버전정보 노출</t>
    <phoneticPr fontId="54" type="noConversion"/>
  </si>
  <si>
    <t>https://devadmin.okplaza.kr/%5C</t>
  </si>
  <si>
    <t>https://devadmin.okplaza.kr/</t>
    <phoneticPr fontId="54" type="noConversion"/>
  </si>
  <si>
    <t>요청 URL 내 특수문자(%5C) 삽입 시 400 에러가 발생하며 400 에러 내 서버 버전정보(Apache Tomcat/9.0.100)가 노출됨</t>
    <phoneticPr fontId="54" type="noConversion"/>
  </si>
  <si>
    <t>메인 페이지 접근 시 응답 헤더 패킷 내 서버 버전정보(Apache/2.4.63)가 노출됨</t>
    <phoneticPr fontId="54" type="noConversion"/>
  </si>
  <si>
    <t>박준태</t>
    <phoneticPr fontId="54" type="noConversion"/>
  </si>
  <si>
    <t>W-011</t>
    <phoneticPr fontId="54" type="noConversion"/>
  </si>
  <si>
    <t>01a11a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</si>
  <si>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</si>
  <si>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https://devadmin.okplaza.kr/board/noticeTransGrid.sys</t>
  </si>
  <si>
    <t>&lt;img src=x onerror=alert(1);&gt;</t>
    <phoneticPr fontId="54" type="noConversion"/>
  </si>
  <si>
    <t>홈&gt;고객센터&gt;공지사항-등록</t>
    <phoneticPr fontId="54" type="noConversion"/>
  </si>
  <si>
    <t>에디터 소스 입력 기능을 사용 시 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</si>
  <si>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https://devadmin.okplaza.kr/board/insertFaqManage/save.sys</t>
  </si>
  <si>
    <t>title, answer</t>
    <phoneticPr fontId="54" type="noConversion"/>
  </si>
  <si>
    <t>질문 - &lt;img src=x onerror=alert(1);&gt;
답변 - &lt;/textarea&gt;&lt;img src=x onerror=alert(1);&gt;</t>
    <phoneticPr fontId="54" type="noConversion"/>
  </si>
  <si>
    <t>title, message</t>
    <phoneticPr fontId="54" type="noConversion"/>
  </si>
  <si>
    <t>홈&gt;고객센터&gt;FAQ 관리-등록</t>
    <phoneticPr fontId="54" type="noConversion"/>
  </si>
  <si>
    <t>W-018</t>
    <phoneticPr fontId="54" type="noConversion"/>
  </si>
  <si>
    <t>01a18a</t>
  </si>
  <si>
    <t>세션 만료 시간이 설정되어 있지 않아 동작없이 장시간(1시간이상) 대기 시 세션이 만료되지 않는 것을 확인함</t>
  </si>
  <si>
    <t>W-013</t>
    <phoneticPr fontId="54" type="noConversion"/>
  </si>
  <si>
    <t>01a13a</t>
  </si>
  <si>
    <t>https://devadmin.okplaza.kr/system/holiday/insertHolidayManage/save.sys</t>
  </si>
  <si>
    <t>holiday_nm</t>
  </si>
  <si>
    <t>홈&gt;시스템관리&gt;휴일관리-등록</t>
    <phoneticPr fontId="54" type="noConversion"/>
  </si>
  <si>
    <t>https://devadmin.okplaza.kr/system/admUserDetail.sys</t>
  </si>
  <si>
    <t>개인정보 수정 페이지 접근 시 별도의 2차 인증 없이 개인정보 수정 페이지 접근이 가능하며, 비밀번호 변경 시에도 현재 비밀번호 확인이 존재하지 않음</t>
    <phoneticPr fontId="54" type="noConversion"/>
  </si>
  <si>
    <t>홈&gt;운영사용자 수정</t>
    <phoneticPr fontId="54" type="noConversion"/>
  </si>
  <si>
    <t>W-005</t>
    <phoneticPr fontId="54" type="noConversion"/>
  </si>
  <si>
    <t>01a05a</t>
  </si>
  <si>
    <t>홈&gt;주문관리&gt;주문관리&gt;역주문-고객사 조회</t>
    <phoneticPr fontId="54" type="noConversion"/>
  </si>
  <si>
    <t>https://devadmin.okplaza.kr/common/borgDivListJQGrid.sys</t>
  </si>
  <si>
    <t>srcBorgNm</t>
  </si>
  <si>
    <t>W-023</t>
    <phoneticPr fontId="54" type="noConversion"/>
  </si>
  <si>
    <t>01a23a</t>
  </si>
  <si>
    <t>https://devadmin.okplaza.kr/</t>
  </si>
  <si>
    <t>구글 검색을 통해 관리자 페이지 검색 시 검색이 가능하며 접근 제한 없이 접근이 가능한 것을 확인(운영기도 동일)</t>
    <phoneticPr fontId="54" type="noConversion"/>
  </si>
  <si>
    <t>참 구문 : '%2b(case+when+1=1+then+'test'+else+'aaaaaa'+end)%2b'
거짓 구문 : '%2b(case+when+1=2+then+'test'+else+'aaaaaa'+end)%2b'
DB명 글자수 확인 : '%2b(case+when+len(db_name())=7+then+'test'+else+'aaaaaa'+end)%2b'
DB명 확인 : '%2b(case+when+db_name()='OKPlaza'+then+'test'+else+'aaaaaa'+end)%2b'</t>
    <phoneticPr fontId="54" type="noConversion"/>
  </si>
  <si>
    <t>Stored XSS(에디터 소스 기능 사용)</t>
    <phoneticPr fontId="54" type="noConversion"/>
  </si>
  <si>
    <t xml:space="preserve">Stored XSS(게시글 작성 시) </t>
    <phoneticPr fontId="54" type="noConversion"/>
  </si>
  <si>
    <t>Reflected XSS</t>
    <phoneticPr fontId="54" type="noConversion"/>
  </si>
  <si>
    <t>홈&gt;SMS 보내기-이동전화번호 조회</t>
    <phoneticPr fontId="54" type="noConversion"/>
  </si>
  <si>
    <t>https://devadmin.okplaza.kr/common/smsSvcMemberListJQGrid.sys</t>
  </si>
  <si>
    <t>prevWord</t>
  </si>
  <si>
    <t>비밀번호 검증 미흡</t>
    <phoneticPr fontId="54" type="noConversion"/>
  </si>
  <si>
    <t>홈&gt;고객관리&gt;공급사조회&gt;사용자조회-사용자 상세</t>
    <phoneticPr fontId="54" type="noConversion"/>
  </si>
  <si>
    <t>https://devadmin.okplaza.kr/organ/checkPassword.sys</t>
  </si>
  <si>
    <t>응답 값 변조</t>
    <phoneticPr fontId="54" type="noConversion"/>
  </si>
  <si>
    <t>공급사 사용자 상세 페이지 접근 시 비밀번호 인증이 존재하나 검증이 미흡하여 응답 값 변조를 통해 비밀번호 없이 상세 페이지 접근이 가능함</t>
    <phoneticPr fontId="54" type="noConversion"/>
  </si>
  <si>
    <t>비밀번호 인증 검증 우회</t>
    <phoneticPr fontId="54" type="noConversion"/>
  </si>
  <si>
    <t>https://devadmin.okplaza.kr/system/systemLogin.sys</t>
  </si>
  <si>
    <t>로그인</t>
    <phoneticPr fontId="54" type="noConversion"/>
  </si>
  <si>
    <t>W-019</t>
    <phoneticPr fontId="54" type="noConversion"/>
  </si>
  <si>
    <t>01a19a</t>
  </si>
  <si>
    <t>로그인/로그아웃 시 세션이 갱신되지 않는 것을 확인함</t>
  </si>
  <si>
    <t>W-233</t>
    <phoneticPr fontId="54" type="noConversion"/>
  </si>
  <si>
    <t>01a33a</t>
  </si>
  <si>
    <t>동일 IP주소에서 단시간 내 반복적인 로그인 시도 시 별도의 검증, 차단 로직이 존재하지 않아 크리덴셜 스터핑 공격이 가능할 것으로 판단됨</t>
  </si>
  <si>
    <t>OKPlaza(운영사)</t>
    <phoneticPr fontId="67" type="noConversion"/>
  </si>
  <si>
    <t>OKPlaza(운영사)</t>
  </si>
  <si>
    <t>팬택씨앤아이 서비스 모의해킹(1차)</t>
  </si>
  <si>
    <t>OKPlaza(공급사)</t>
    <phoneticPr fontId="67" type="noConversion"/>
  </si>
  <si>
    <t>OKPlaza(일반구매사)</t>
    <phoneticPr fontId="67" type="noConversion"/>
  </si>
  <si>
    <t>팬타온</t>
  </si>
  <si>
    <t>팬타온</t>
    <phoneticPr fontId="67" type="noConversion"/>
  </si>
  <si>
    <t>전자입찰</t>
  </si>
  <si>
    <t>전자입찰</t>
    <phoneticPr fontId="67" type="noConversion"/>
  </si>
  <si>
    <t>OKPlaza(홈앤서비스)</t>
  </si>
  <si>
    <t>OKPlaza(홈앤서비스)</t>
    <phoneticPr fontId="67" type="noConversion"/>
  </si>
  <si>
    <t>OKPlaza(OKSafety)</t>
  </si>
  <si>
    <t>OKPlaza(OKSafety)</t>
    <phoneticPr fontId="67" type="noConversion"/>
  </si>
  <si>
    <t>devadmin.okplaza.kr</t>
  </si>
  <si>
    <t>dev.okplaza.kr</t>
  </si>
  <si>
    <t>dev.homs.biz</t>
  </si>
  <si>
    <t>dev.oksafety.kr</t>
  </si>
  <si>
    <t>devpantaon.okplaza.kr</t>
  </si>
  <si>
    <t>devebid.okplaza.kr</t>
  </si>
  <si>
    <t>WEB</t>
  </si>
  <si>
    <t>CASE1</t>
  </si>
  <si>
    <t>-</t>
  </si>
  <si>
    <t>https://dev.okplaza.kr/</t>
  </si>
  <si>
    <t>X</t>
  </si>
  <si>
    <t>메인 페이지 접근 시 응답 헤더 패킷 내 서버 버전정보(Apache/2.4.63)가 노출됨</t>
  </si>
  <si>
    <t>CASE2</t>
  </si>
  <si>
    <t>에러 페이지 내 서버 버전정보 노출</t>
  </si>
  <si>
    <t>https://dev.okplaza.kr/%5C</t>
  </si>
  <si>
    <t>요청 URL 내 특수문자(%5C) 삽입 시 400 에러가 발생하며 400 에러 내 서버 버전정보(Apache Tomcat/9.0.100)가 노출됨</t>
  </si>
  <si>
    <t>CASE3</t>
  </si>
  <si>
    <t>내부망 IP 노출</t>
  </si>
  <si>
    <t>홈</t>
  </si>
  <si>
    <t>홈&gt;공급사정보-저장</t>
  </si>
  <si>
    <t>https://dev.okplaza.kr/vendor/organ/saveVendorUpdate</t>
  </si>
  <si>
    <t>vendornm, pressentnm, addresdesc, vendorbusiclas, vendorbusitype, homepage, referecedesc, closereason, workmanagenm, accountmanagenm</t>
  </si>
  <si>
    <t>"/&gt;&lt;img src=x onerror=alert(document.cookie);&gt;</t>
  </si>
  <si>
    <t>https://dev.okplaza.kr/vendor/venBoard/saveQna</t>
  </si>
  <si>
    <t>title</t>
  </si>
  <si>
    <t>&lt;svg/onload=alert(1);&gt;</t>
  </si>
  <si>
    <t>홈&gt;사용자 상세</t>
  </si>
  <si>
    <t>https://dev.okplaza.kr/organ/userPasswordCheck</t>
  </si>
  <si>
    <t>code</t>
  </si>
  <si>
    <t>응답 패킷 내 응답 값 변조</t>
  </si>
  <si>
    <t>사용자 상세 페이지 접근 시 비밀번호 검증이 존재하나 검증이 미흡하여 응답 패킷 내 응답 값 변조 시 비밀번호 없이 접근이 가능함</t>
  </si>
  <si>
    <t>로그인</t>
  </si>
  <si>
    <t>https://dev.okplaza.kr/loginCheck</t>
  </si>
  <si>
    <t>서버 보안</t>
  </si>
  <si>
    <t>OKPlaza(공급사)</t>
    <phoneticPr fontId="54" type="noConversion"/>
  </si>
  <si>
    <t>내부망 IP 노출</t>
    <phoneticPr fontId="54" type="noConversion"/>
  </si>
  <si>
    <t>홈</t>
    <phoneticPr fontId="54" type="noConversion"/>
  </si>
  <si>
    <t>https://dev.okplaza.kr/vendor</t>
    <phoneticPr fontId="54" type="noConversion"/>
  </si>
  <si>
    <t>로그인 후 메인 페이지 접근 시 응답 패킷 내 내부망 IP가 노출됨</t>
    <phoneticPr fontId="54" type="noConversion"/>
  </si>
  <si>
    <t>Stored</t>
    <phoneticPr fontId="54" type="noConversion"/>
  </si>
  <si>
    <t>홈&gt;고객센터&gt;질의응답-등록</t>
    <phoneticPr fontId="54" type="noConversion"/>
  </si>
  <si>
    <t>홈&gt;사용자 상세</t>
    <phoneticPr fontId="54" type="noConversion"/>
  </si>
  <si>
    <t>응답 패킷 내 응답 값 변조</t>
    <phoneticPr fontId="54" type="noConversion"/>
  </si>
  <si>
    <t>사용자 상세 페이지 접근 시 비밀번호 검증이 존재하나 검증이 미흡하여 응답 패킷 내 응답 값 변조 시 비밀번호 없이 접근이 가능함</t>
    <phoneticPr fontId="54" type="noConversion"/>
  </si>
  <si>
    <t>https://dev.okplaza.kr/</t>
    <phoneticPr fontId="54" type="noConversion"/>
  </si>
  <si>
    <t>03a09a</t>
  </si>
  <si>
    <t>OKPlaza(일반구매사)</t>
    <phoneticPr fontId="54" type="noConversion"/>
  </si>
  <si>
    <t>메인 페이지 접근 시 응답 패킷 내 내부망 IP가 노출됨</t>
    <phoneticPr fontId="54" type="noConversion"/>
  </si>
  <si>
    <t>03a11a</t>
  </si>
  <si>
    <t>Reflected</t>
    <phoneticPr fontId="54" type="noConversion"/>
  </si>
  <si>
    <t>홈&gt;검색</t>
    <phoneticPr fontId="54" type="noConversion"/>
  </si>
  <si>
    <t>https://dev.okplaza.kr/product/list</t>
    <phoneticPr fontId="54" type="noConversion"/>
  </si>
  <si>
    <t>inputWord</t>
  </si>
  <si>
    <t>"/&gt;&lt;img src=x onerror=alert('xss');&gt;</t>
    <phoneticPr fontId="54" type="noConversion"/>
  </si>
  <si>
    <t>홈&gt;고객의 소리(Q&amp;A)&gt;문의</t>
    <phoneticPr fontId="54" type="noConversion"/>
  </si>
  <si>
    <t>https://dev.okplaza.kr/board/saveQna</t>
  </si>
  <si>
    <t>&lt;img src=x onerror=alert('xss');&gt;</t>
    <phoneticPr fontId="54" type="noConversion"/>
  </si>
  <si>
    <t>03a13a</t>
  </si>
  <si>
    <t>03a17a</t>
  </si>
  <si>
    <t>W-017</t>
    <phoneticPr fontId="54" type="noConversion"/>
  </si>
  <si>
    <t>홈&gt;운영관리&gt;예산조회&gt;예산이력</t>
    <phoneticPr fontId="54" type="noConversion"/>
  </si>
  <si>
    <t>https://dev.okplaza.kr/manage/budget/pop-budgetHistory-list?page=1&amp;srcIncrease=&amp;histYyyyMm=202506&amp;histBranchid=307638&amp;histGoodType=00&amp;_=1750294033937</t>
  </si>
  <si>
    <t>histBranchid</t>
  </si>
  <si>
    <t>요청 패킷 내 파라미터 값 변조</t>
    <phoneticPr fontId="54" type="noConversion"/>
  </si>
  <si>
    <t>예산이력 조회 시 검증이 미흡하여 요청 패킷 내 파라미터 값 변조 시 타 사업장 예산 조회가 가능함</t>
    <phoneticPr fontId="54" type="noConversion"/>
  </si>
  <si>
    <t>03a29a</t>
  </si>
  <si>
    <t>서버 버전정보 노출</t>
  </si>
  <si>
    <t>https://dev.homs.biz/</t>
  </si>
  <si>
    <t>서버 보안 설정이 미흡하여 응답 헤더 내 서버 버전정보가 노출되고 있으며, 공격자에게 2차 공격에 활용될 정보를 제공할 수 있음</t>
  </si>
  <si>
    <t>　</t>
  </si>
  <si>
    <t>박시연</t>
  </si>
  <si>
    <t>소스코드 내 정보 노출</t>
  </si>
  <si>
    <t>메인 페이지 소스코드 내 내부망으로 추정되는 URL과 액세스 키 정보가 노출되고 있어 공격자에게 2차 공격에 활용될 정보를 제공할 수 있음</t>
  </si>
  <si>
    <t>Stored XSS</t>
  </si>
  <si>
    <t>홈&gt;고객센터&gt;공지사항&gt;등록
홈&gt;고객센터&gt;자유게시판&gt;등록</t>
  </si>
  <si>
    <t>https://dev.homs.biz/board/saveNotice</t>
  </si>
  <si>
    <t>message</t>
  </si>
  <si>
    <t>&lt;script&gt;alert('XSS TEST')&lt;/script&gt;</t>
  </si>
  <si>
    <t>홈&gt;고객센터&gt;고객의 소리(Q&amp;A)&gt;등록</t>
  </si>
  <si>
    <t>https://dev.homs.biz/board/saveQna</t>
  </si>
  <si>
    <t>홈&gt;주문 관리&gt;장바구니&gt;장바구니 설정&gt;저장</t>
  </si>
  <si>
    <t>https://dev.homs.biz/buyCart/addCart</t>
  </si>
  <si>
    <t>carNmArr</t>
  </si>
  <si>
    <t>01a17a</t>
  </si>
  <si>
    <t>https://dev.homs.biz/loginCheck
https://dev.homs.biz/login</t>
  </si>
  <si>
    <t>password 파라미터 삭제</t>
  </si>
  <si>
    <t>로그인 시 패스워드 파라미터에 대한 검증이 미흡하여 요청 과정에서 해당 파라미터를 삭제할 경우 유효한 비밀번호 없이 로그인이 가능하여 계정 탈취 위험이 존재함</t>
  </si>
  <si>
    <t>타 사용자의 게시글 수정,삭제</t>
  </si>
  <si>
    <t>홈&gt;고객센터&gt;자유게시판&gt;수정</t>
  </si>
  <si>
    <t>boardNo</t>
  </si>
  <si>
    <t>사용자 검증이 미흡하여 요청 패킷 내 boardNo 값 변조를 통해 타 사용자의 게시글 수정/삭제가 가능함
※ 이 외 동일한 로직의 기능에 대해서 전수 조치 필요</t>
  </si>
  <si>
    <t>홈&gt;고객센터&gt;자유게시판&gt;삭제</t>
  </si>
  <si>
    <t>타 사용자 정보 확인</t>
  </si>
  <si>
    <t>https://dev.homs.biz/organ/popOrganUserDetail?borgid=306164&amp;userid=307574&amp;_=1749714110452</t>
  </si>
  <si>
    <t>userid</t>
  </si>
  <si>
    <t>사용자 검증이 미흡하여 사용자 상세 페이지 조회 시 userid 값 변조를 통해 타 사용자의 정보 확인이 가능함
※ 이 외 동일한 로직의 기능에 대해서 전수 조치 필요</t>
  </si>
  <si>
    <t>02a29a</t>
  </si>
  <si>
    <t>타 사용자의 문의글 조회</t>
  </si>
  <si>
    <t>홈&gt;고객센터&gt;고객의 소리(Q&amp;A)&gt;문의 상세</t>
  </si>
  <si>
    <t>no</t>
  </si>
  <si>
    <t>CASE4</t>
  </si>
  <si>
    <t>타 사용자의 주문이력 조회</t>
  </si>
  <si>
    <t>홈&gt;주문 관리&gt;주문이력조회&gt;주문상세조회</t>
  </si>
  <si>
    <t>https://dev.homs.biz/buyOrder/popOrderDetail?ordeIdenNumb=HNS2506130006-1&amp;_=1750034331983</t>
  </si>
  <si>
    <t>ordeIdenNumb</t>
  </si>
  <si>
    <t>사용자 검증이 미흡하여 주문 상세 페이지 조회 시 ordeIdenNumb 값 변조를 통해 조회 권한이 없는 타 사용자의 주문내역 확인이 가능함
※ 이 외 동일한 로직의 기능에 대해서 전수 조치 필요</t>
  </si>
  <si>
    <t>홈&gt;주문 관리&gt;주문진척도&gt;주문서&gt;견적서 조회</t>
  </si>
  <si>
    <t>https://dev.homs.biz/ubi/selectEstimateSheet</t>
  </si>
  <si>
    <t>사용자 검증이 미흡하여 주문서(견적서) 조회 시 ordeIdenNumb 값 변조를 통해 조회 권한이 없는 타 사용자의 주문서 확인이 가능함
※ 이 외 동일한 로직의 기능에 대해서 전수 조치 필요</t>
  </si>
  <si>
    <t>홈&gt;인수/반품&gt;인수이력조회&gt;인수증출력</t>
  </si>
  <si>
    <t>https://dev.homs.biz/ubi/selectReceiptList</t>
  </si>
  <si>
    <t>receiptNum</t>
  </si>
  <si>
    <t>사용자 검증이 미흡하여 인수증 조회 시 receiptNum 값 변조를 통해 조회 권한이 없는 타 사용자의 인수증 확인이 가능함
※ 이 외 동일한 로직의 기능에 대해서 전수 조치 필요</t>
  </si>
  <si>
    <t>https://dev.homs.biz/login</t>
  </si>
  <si>
    <t>로그인 시 새로운 세션 발급 미흡하여 기존 브라우저 세션을 활용하고 있으며, 세션 ID 도용 시 비인가자의 접근 및 권한 우회가 가능할 것으로 판단됨</t>
  </si>
  <si>
    <t>W-037</t>
  </si>
  <si>
    <t>자동화 공격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</si>
  <si>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</si>
  <si>
    <t>02a09a</t>
  </si>
  <si>
    <t>서버 버전정보 노출</t>
    <phoneticPr fontId="54" type="noConversion"/>
  </si>
  <si>
    <t>https://dev.oksafety.kr/</t>
    <phoneticPr fontId="54" type="noConversion"/>
  </si>
  <si>
    <t>서버 보안 설정이 미흡하여 응답 헤더 내 서버 버전정보가 노출되고 있으며, 공격자에게 2차 공격에 활용될 정보를 제공할 수 있음</t>
    <phoneticPr fontId="54" type="noConversion"/>
  </si>
  <si>
    <t>박시연</t>
    <phoneticPr fontId="54" type="noConversion"/>
  </si>
  <si>
    <t>소스코드 내 정보 노출</t>
    <phoneticPr fontId="54" type="noConversion"/>
  </si>
  <si>
    <t>메인 페이지 소스코드 내 내부망으로 추정되는 URL과 액세스 키 정보가 노출되고 있어 공격자에게 2차 공격에 활용될 정보를 제공할 수 있음</t>
    <phoneticPr fontId="54" type="noConversion"/>
  </si>
  <si>
    <t>02a11a</t>
  </si>
  <si>
    <t>Stored XSS</t>
    <phoneticPr fontId="54" type="noConversion"/>
  </si>
  <si>
    <t>홈&gt;고객센터&gt;자유게시판&gt;등록</t>
    <phoneticPr fontId="54" type="noConversion"/>
  </si>
  <si>
    <t>https://dev.oksafety.kr/board/saveNotice</t>
    <phoneticPr fontId="54" type="noConversion"/>
  </si>
  <si>
    <t>&lt;script&gt;alert('XSS TEST')&lt;/script&gt;</t>
    <phoneticPr fontId="54" type="noConversion"/>
  </si>
  <si>
    <t>홈앤서비스와 동일한 구조이나 공지사항 등록 권한이 없어 공지사항 게시판은 제외됨</t>
    <phoneticPr fontId="54" type="noConversion"/>
  </si>
  <si>
    <t>홈&gt;고객센터&gt;고객의 소리(Q&amp;A)&gt;등록</t>
    <phoneticPr fontId="54" type="noConversion"/>
  </si>
  <si>
    <t>https://dev.oksafety.kr/board/saveQna</t>
    <phoneticPr fontId="54" type="noConversion"/>
  </si>
  <si>
    <t>홈&gt;주문 관리&gt;장바구니&gt;장바구니 설정&gt;저장</t>
    <phoneticPr fontId="54" type="noConversion"/>
  </si>
  <si>
    <t>https://dev.oksafety.kr/buyCart/addCart</t>
    <phoneticPr fontId="54" type="noConversion"/>
  </si>
  <si>
    <t>02a13a</t>
  </si>
  <si>
    <t>https://dev.oksafety.kr/loginCheck
https://dev.oksafety.kr/login</t>
    <phoneticPr fontId="54" type="noConversion"/>
  </si>
  <si>
    <t>password 파라미터 삭제</t>
    <phoneticPr fontId="54" type="noConversion"/>
  </si>
  <si>
    <t>로그인 시 패스워드 파라미터에 대한 검증이 미흡하여 요청 과정에서 해당 파라미터를 삭제할 경우 유효한 비밀번호 없이 로그인이 가능하여 계정 탈취 위험이 존재함</t>
    <phoneticPr fontId="54" type="noConversion"/>
  </si>
  <si>
    <t>02a17a</t>
  </si>
  <si>
    <t>타 사용자의 게시글 수정,삭제</t>
    <phoneticPr fontId="54" type="noConversion"/>
  </si>
  <si>
    <t>홈&gt;고객센터&gt;자유게시판&gt;수정</t>
    <phoneticPr fontId="54" type="noConversion"/>
  </si>
  <si>
    <t>https://dev.oksafety.kr/board/popFree?boardNo=7502&amp;_=1750306955324</t>
    <phoneticPr fontId="54" type="noConversion"/>
  </si>
  <si>
    <t>boardNo</t>
    <phoneticPr fontId="54" type="noConversion"/>
  </si>
  <si>
    <t>사용자 검증이 미흡하여 요청 패킷 내 boardNo 값 변조를 통해 타 사용자의 게시글 수정/삭제가 가능함
※ 이 외 동일한 로직의 기능에 대해서 전수 조치 필요</t>
    <phoneticPr fontId="54" type="noConversion"/>
  </si>
  <si>
    <t>홈&gt;고객센터&gt;자유게시판&gt;삭제</t>
    <phoneticPr fontId="54" type="noConversion"/>
  </si>
  <si>
    <t>타 사용자 정보 확인</t>
    <phoneticPr fontId="54" type="noConversion"/>
  </si>
  <si>
    <t>https://dev.oksafety.kr/organ/popOrganUserDetail?borgid=307590&amp;userid=307593&amp;_=1750308772777</t>
    <phoneticPr fontId="54" type="noConversion"/>
  </si>
  <si>
    <t>userid</t>
    <phoneticPr fontId="54" type="noConversion"/>
  </si>
  <si>
    <t>사용자 검증이 미흡하여 사용자 상세 페이지 조회 시 userid 값 변조를 통해 타 사용자의 정보 확인이 가능함
※ 이 외 동일한 로직의 기능에 대해서 전수 조치 필요</t>
    <phoneticPr fontId="54" type="noConversion"/>
  </si>
  <si>
    <t>타 사용자의 문의글 조회</t>
    <phoneticPr fontId="54" type="noConversion"/>
  </si>
  <si>
    <t>홈&gt;고객센터&gt;고객의 소리(Q&amp;A)&gt;문의 상세</t>
    <phoneticPr fontId="54" type="noConversion"/>
  </si>
  <si>
    <t>https://dev.oksafety.kr/board/popQna?oper=detail&amp;no=7503&amp;_=1750309532465</t>
    <phoneticPr fontId="54" type="noConversion"/>
  </si>
  <si>
    <t>no</t>
    <phoneticPr fontId="54" type="noConversion"/>
  </si>
  <si>
    <t>사용자 검증이 미흡하여 문의 상세 페이지 조회 시 no 값 변조를 통해 조회 권한이 없는 타 사용자의 게시글 확인이 가능함
※ 이 외 동일한 로직의 기능에 대해서 전수 조치 필요</t>
    <phoneticPr fontId="54" type="noConversion"/>
  </si>
  <si>
    <t>타 사용자의 주문이력 조회</t>
    <phoneticPr fontId="54" type="noConversion"/>
  </si>
  <si>
    <t>홈&gt;주문 관리&gt;주문이력조회&gt;주문상세조회</t>
    <phoneticPr fontId="54" type="noConversion"/>
  </si>
  <si>
    <t>https://dev.oksafety.kr/buyOrder/popOrderDetail?ordeIdenNumb=SYS2506190001-1&amp;_=1750309986118</t>
    <phoneticPr fontId="54" type="noConversion"/>
  </si>
  <si>
    <t>ordeIdenNumb</t>
    <phoneticPr fontId="54" type="noConversion"/>
  </si>
  <si>
    <t>사용자 검증이 미흡하여 주문 상세 페이지 조회 시 ordeIdenNumb 값 변조를 통해 조회 권한이 없는 타 사용자의 주문내역 확인이 가능함
※ 이 외 동일한 로직의 기능에 대해서 전수 조치 필요</t>
    <phoneticPr fontId="54" type="noConversion"/>
  </si>
  <si>
    <t>홈&gt;주문 관리&gt;주문진척도&gt;주문서&gt;견적서 조회</t>
    <phoneticPr fontId="54" type="noConversion"/>
  </si>
  <si>
    <t>https://dev.oksafety.kr/ubi/selectEstimateSheet</t>
    <phoneticPr fontId="54" type="noConversion"/>
  </si>
  <si>
    <t>사용자 검증이 미흡하여 주문서(견적서) 조회 시 ordeIdenNumb 값 변조를 통해 조회 권한이 없는 타 사용자의 주문서 확인이 가능함
※ 이 외 동일한 로직의 기능에 대해서 전수 조치 필요</t>
    <phoneticPr fontId="54" type="noConversion"/>
  </si>
  <si>
    <t>홈&gt;인수/반품&gt;인수이력조회&gt;인수증출력</t>
    <phoneticPr fontId="54" type="noConversion"/>
  </si>
  <si>
    <t>https://dev.oksafety.kr/ubi/selectReceiptList</t>
    <phoneticPr fontId="54" type="noConversion"/>
  </si>
  <si>
    <t>receiptNum</t>
    <phoneticPr fontId="54" type="noConversion"/>
  </si>
  <si>
    <t>사용자 검증이 미흡하여 인수증 조회 시 receiptNum 값 변조를 통해 조회 권한이 없는 타 사용자의 인수증 확인이 가능함
※ 이 외 동일한 로직의 기능에 대해서 전수 조치 필요</t>
    <phoneticPr fontId="54" type="noConversion"/>
  </si>
  <si>
    <t>CASE5</t>
  </si>
  <si>
    <t>타 사용자의 주문 취소 가능</t>
    <phoneticPr fontId="54" type="noConversion"/>
  </si>
  <si>
    <t>홈&gt;주문 관리&gt;주문진척도&gt;주문취소</t>
    <phoneticPr fontId="54" type="noConversion"/>
  </si>
  <si>
    <t>https://dev.oksafety.kr/buyOrder/orderCancel</t>
    <phoneticPr fontId="54" type="noConversion"/>
  </si>
  <si>
    <t>사용자 검증이 미흡하여 주문취소 시 ordeIdenNumb 값 변조를 통해 타 사용자의 주문 취소가 가능함
※ 이 외 동일한 로직의 기능에 대해서 전수 조치 필요</t>
    <phoneticPr fontId="54" type="noConversion"/>
  </si>
  <si>
    <t>02a19a</t>
  </si>
  <si>
    <t>https://dev.oksafety.kr/login</t>
    <phoneticPr fontId="54" type="noConversion"/>
  </si>
  <si>
    <t>로그인 시 새로운 세션 발급 미흡하여 기존 브라우저 세션을 활용하고 있으며, 세션 ID 도용 시 비인가자의 접근 및 권한 우회가 가능할 것으로 판단됨</t>
    <phoneticPr fontId="54" type="noConversion"/>
  </si>
  <si>
    <t>02a33a</t>
  </si>
  <si>
    <t>https://dev.oksafety.kr/loginCheck</t>
    <phoneticPr fontId="54" type="noConversion"/>
  </si>
  <si>
    <t>02a37a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</si>
  <si>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  <phoneticPr fontId="54" type="noConversion"/>
  </si>
  <si>
    <t>CASE1</t>
    <phoneticPr fontId="54" type="noConversion"/>
  </si>
  <si>
    <t>HTTP 응답 헤더 내 서버 정보 노출</t>
    <phoneticPr fontId="54" type="noConversion"/>
  </si>
  <si>
    <t>서버 보안</t>
    <phoneticPr fontId="54" type="noConversion"/>
  </si>
  <si>
    <t>https://devpantaon.okplaza.kr/</t>
  </si>
  <si>
    <t>HTTP 응답 헤더 내 서버 버전정보가 노출되는 것을 확인함</t>
    <phoneticPr fontId="54" type="noConversion"/>
  </si>
  <si>
    <t>신재곤</t>
  </si>
  <si>
    <t>CASE2</t>
    <phoneticPr fontId="54" type="noConversion"/>
  </si>
  <si>
    <t>에러 페이지 내 서버 정보 노출</t>
    <phoneticPr fontId="54" type="noConversion"/>
  </si>
  <si>
    <t>HTTP 메소드 변조 시 405 에러가 발생하며 에러 페이지 내 서버 버전정보가 노출됨</t>
    <phoneticPr fontId="54" type="noConversion"/>
  </si>
  <si>
    <t>마이쇼핑&gt;내 정보 관리&gt;회원정보 변경&gt;변경</t>
  </si>
  <si>
    <t>https://devpantaon.okplaza.kr/my/info/myInfoSave</t>
  </si>
  <si>
    <t>email</t>
  </si>
  <si>
    <t>\"&gt;&lt;img src=x onerror=alert('xss-test')&gt;</t>
  </si>
  <si>
    <t>1. 고객센터&gt;1:1문의하기&gt;문의하기&gt;문의하기
2. 고객센터&gt;1:1문의하기&gt;문의하기&gt; 파일 선택</t>
  </si>
  <si>
    <t>1. https://devpantaon.okplaza.kr/support/qnaSave
2. https://devpantaon.okplaza.kr/attach/uploadfile</t>
  </si>
  <si>
    <t>Reflected XSS</t>
    <phoneticPr fontId="54" type="noConversion"/>
  </si>
  <si>
    <t>홈&gt;검색</t>
  </si>
  <si>
    <t>https://devpantaon.okplaza.kr/product/list?inputWord=test"&gt;&lt;img+src=x+onerror=alert(1)&gt;</t>
  </si>
  <si>
    <t>"&gt;&lt;img+src=x+onerror=alert(1)&gt;</t>
  </si>
  <si>
    <t>마이쇼핑&gt;내 정보 관리&gt;회원정보 변경&gt;비밀번호 확인</t>
  </si>
  <si>
    <t>https://devpantaon.okplaza.kr/my/info/myInfoConfirm</t>
  </si>
  <si>
    <t>notFound→OK</t>
  </si>
  <si>
    <t>회원정보 변경 페이지 접근 시 본인확인을 위한 비밀번호 검증 로직이 존재하나 임의의 비밀번호 입력 후 응답코드 변조를 통해 비밀번호 인증 우회가 가능함</t>
  </si>
  <si>
    <t>다른사용자 개인정보 조회, 변경</t>
  </si>
  <si>
    <t>마이쇼핑&gt;내 정보 관리&gt;배송주소 관리&gt;배송주소 상세</t>
    <phoneticPr fontId="54" type="noConversion"/>
  </si>
  <si>
    <t>https://devpantaon.okplaza.kr/my/info/popDeliSave?deliId=55585&amp;_=1749688538053</t>
    <phoneticPr fontId="54" type="noConversion"/>
  </si>
  <si>
    <t>deliId</t>
    <phoneticPr fontId="54" type="noConversion"/>
  </si>
  <si>
    <t>다른 계정의 배송지 정보 조회 및 변경이 가능한 것을 확인함</t>
  </si>
  <si>
    <t>마이쇼핑&gt;내 정보 관리&gt;배송주소 관리&gt;배송주소 상세&gt;저장</t>
    <phoneticPr fontId="54" type="noConversion"/>
  </si>
  <si>
    <t>https://devpantaon.okplaza.kr/my/info/deliSave</t>
    <phoneticPr fontId="54" type="noConversion"/>
  </si>
  <si>
    <t>deliveryid</t>
    <phoneticPr fontId="54" type="noConversion"/>
  </si>
  <si>
    <t>다른 사용자 주문정보 조회</t>
  </si>
  <si>
    <t>마이쇼핑&gt;내 쇼핑 현황&gt;주문/배송 조회&gt;주문상세</t>
  </si>
  <si>
    <t>https://devpantaon.okplaza.kr/my/shopping/orderDetail?ordeIdenNumb=PTO2506100004</t>
  </si>
  <si>
    <t>PTO2506100003→PTO2506100004</t>
  </si>
  <si>
    <t>다른 계정의 주문정보 및 배송지 정보 조회가 가능한 것을 확인함</t>
  </si>
  <si>
    <t>https://devpantaon.okplaza.kr/login</t>
  </si>
  <si>
    <t>HTTP 응답 헤더 내 서버 정보 노출</t>
    <phoneticPr fontId="54" type="noConversion"/>
  </si>
  <si>
    <t>https://devebid.okplaza.kr/</t>
  </si>
  <si>
    <t>HTTP 응답 헤더 내 서버 버전 정보 노출</t>
    <phoneticPr fontId="54" type="noConversion"/>
  </si>
  <si>
    <t>에러 페이지 내 서버 정보 노출</t>
    <phoneticPr fontId="54" type="noConversion"/>
  </si>
  <si>
    <t>https://devebid.okplaza.kr/test</t>
    <phoneticPr fontId="54" type="noConversion"/>
  </si>
  <si>
    <t>서비스 로그인 후 존재하지 않는 URL 접근 시 404 에러가 발생하며 에러 페이지 내 서버 버전 정보가 노출되는 것을 확인함</t>
    <phoneticPr fontId="54" type="noConversion"/>
  </si>
  <si>
    <t>휴대폰번호 일괄 노출</t>
    <phoneticPr fontId="54" type="noConversion"/>
  </si>
  <si>
    <t>홈&gt;정보관리&gt;사용자관리</t>
    <phoneticPr fontId="54" type="noConversion"/>
  </si>
  <si>
    <t>https://devebid.okplaza.kr/info/user</t>
  </si>
  <si>
    <t>사용자 관리 목록 내 전체 사용자의 휴대폰 번호가 평문으로 일괄 노출되는 것을 확인함</t>
    <phoneticPr fontId="54" type="noConversion"/>
  </si>
  <si>
    <t>홈&gt;업체정보&gt;사용자관리</t>
    <phoneticPr fontId="54" type="noConversion"/>
  </si>
  <si>
    <t>https://devebid.okplaza.kr/company/user</t>
  </si>
  <si>
    <t>홈&gt;고객센터&gt;공지사항&gt;공지등록</t>
    <phoneticPr fontId="54" type="noConversion"/>
  </si>
  <si>
    <t>https://devebid.okplaza.kr/api/v1/notice/insertNotice</t>
  </si>
  <si>
    <t>bcontent</t>
  </si>
  <si>
    <t>&lt;script&gt;alert(1)&lt;/script&gt;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</si>
  <si>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서비스 내 데이터 삽입 기능이 있는 모든 메뉴에 대해 전수 조치 필요</t>
    <phoneticPr fontId="54" type="noConversion"/>
  </si>
  <si>
    <t>홈&gt;고객센터&gt;1:1문의&gt;문의하기</t>
    <phoneticPr fontId="54" type="noConversion"/>
  </si>
  <si>
    <t>https://devebid.okplaza.kr/api/v1/notice/insertInquiry</t>
  </si>
  <si>
    <t>askTitle</t>
  </si>
  <si>
    <t>홈&gt;고객센터&gt;FAQ&gt;FAQ 등록</t>
    <phoneticPr fontId="54" type="noConversion"/>
  </si>
  <si>
    <t>https://devebid.okplaza.kr/api/v1/faq/save</t>
  </si>
  <si>
    <t>홈&gt;개인정보 수정&gt;비밀번호 인증</t>
    <phoneticPr fontId="54" type="noConversion"/>
  </si>
  <si>
    <t>https://devebid.okplaza.kr/api/v1/main/checkPwd</t>
  </si>
  <si>
    <t>[응답]data</t>
    <phoneticPr fontId="54" type="noConversion"/>
  </si>
  <si>
    <t>개인정보 페이지 접근 시 비밀번호 인증이 필요하나, 인증 시 응답 패킷을 변조할 경우 인증을 우회할 수 있는 것을 확인함</t>
    <phoneticPr fontId="54" type="noConversion"/>
  </si>
  <si>
    <t>URL 직접 접근</t>
    <phoneticPr fontId="54" type="noConversion"/>
  </si>
  <si>
    <t>https://devebid.okplaza.kr/info/user</t>
    <phoneticPr fontId="54" type="noConversion"/>
  </si>
  <si>
    <t>메뉴별 접근 권한 설정이 미흡하여 URL 직접 접근 시 접근 권한이 없는 메뉴에 접근이 가능한 것을 확인함
※ 이 외 동일한 로직의 기능에 대해서 전수 조치 필요</t>
    <phoneticPr fontId="54" type="noConversion"/>
  </si>
  <si>
    <t>https://devebid.okplaza.kr/notice/noticeSave</t>
  </si>
  <si>
    <t>javascript 함수 강제 호출</t>
    <phoneticPr fontId="54" type="noConversion"/>
  </si>
  <si>
    <t>홈&gt;고객센터&gt;공지사항&gt;글 상세&gt;삭제</t>
    <phoneticPr fontId="54" type="noConversion"/>
  </si>
  <si>
    <t>https://devebid.okplaza.kr/api/v1/notice/deleteNotice</t>
  </si>
  <si>
    <t>javascript 함수를 강제로 호출하여 권한이 없는 기능을 사용할 수 있는 것을 확인함
※ 이 외 동일한 로직의 기능에 대해서 전수 조치 필요</t>
    <phoneticPr fontId="54" type="noConversion"/>
  </si>
  <si>
    <t>홈&gt;고객센터&gt;공지사항&gt;글 상세&gt;수정</t>
    <phoneticPr fontId="54" type="noConversion"/>
  </si>
  <si>
    <t>https://devebid.okplaza.kr/api/v1/notice/updateNotice</t>
  </si>
  <si>
    <t>다른 업체 정보 조회</t>
    <phoneticPr fontId="54" type="noConversion"/>
  </si>
  <si>
    <t>홈&gt;업체정보&gt;사용자관리&gt;검색</t>
    <phoneticPr fontId="54" type="noConversion"/>
  </si>
  <si>
    <t>https://devebid.okplaza.kr/api/v1/cust/userListForCust</t>
  </si>
  <si>
    <t>custCode</t>
  </si>
  <si>
    <t>custCode 값을 변조하는 것으로 다른 업체 정보를 조회할 수 있음
※ 이 외 동일한 로직의 기능에 대해서 전수 조치 필요</t>
    <phoneticPr fontId="54" type="noConversion"/>
  </si>
  <si>
    <t>홈&gt;업체정보&gt;자사정보</t>
    <phoneticPr fontId="54" type="noConversion"/>
  </si>
  <si>
    <t>https://devebid.okplaza.kr/api/v1/cust/custDetail</t>
  </si>
  <si>
    <t>서비스 전체</t>
    <phoneticPr fontId="54" type="noConversion"/>
  </si>
  <si>
    <t>W-020</t>
    <phoneticPr fontId="54" type="noConversion"/>
  </si>
  <si>
    <t>홈&gt;전자입찰&gt;입찰진행-협력사&gt;입찰 상세&gt;견적서 제출</t>
    <phoneticPr fontId="54" type="noConversion"/>
  </si>
  <si>
    <t>https://devebid.okplaza.kr/api/v1/bidPtStatus/bidSubmitting</t>
  </si>
  <si>
    <t>입찰 기한에 대한 검증을 서버 측에서 하고 있지 않아 javascript 내 견적서 제출 함수(fnCheck)를 변조 후 강제 호출할 경우 기한이 지난 입찰 건에 대해 견적 제출이 가능한 것을 확인함</t>
    <phoneticPr fontId="54" type="noConversion"/>
  </si>
  <si>
    <t>https://devebid.okplaza.kr/api/v1/login</t>
  </si>
  <si>
    <t>W-135</t>
    <phoneticPr fontId="54" type="noConversion"/>
  </si>
  <si>
    <t>로그인 시 비밀번호 오류횟수가 설정되어 있지 않아 무차별 대입 공격을 통한 계정 탈취 위험이 존재함</t>
  </si>
  <si>
    <t>총합계</t>
  </si>
  <si>
    <t>행 레이블</t>
  </si>
  <si>
    <t>개수 : 구분
(입력X)</t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</si>
  <si>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</si>
  <si>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title, requTelNumb, file</t>
    <phoneticPr fontId="54" type="noConversion"/>
  </si>
  <si>
    <t>message</t>
    <phoneticPr fontId="54" type="noConversion"/>
  </si>
  <si>
    <t>\"&gt;&lt;img src=x onerror=alert('xss-test')&gt;</t>
    <phoneticPr fontId="54" type="noConversion"/>
  </si>
  <si>
    <t>하</t>
    <phoneticPr fontId="54" type="noConversion"/>
  </si>
  <si>
    <t>사용자 검증이 미흡하여 요청 패킷 내 boardNo 값 변조를 통해 타 사용자의 게시글 수정/삭제가 가능함
※ 이 외 동일한 로직의 기능에 대해서 전수 조치 필요</t>
    <phoneticPr fontId="54" type="noConversion"/>
  </si>
  <si>
    <t>https://dev.homs.biz/board/popFree?boardNo=7437&amp;_=1749609100355</t>
    <phoneticPr fontId="54" type="noConversion"/>
  </si>
  <si>
    <t>https://dev.homs.biz/board/popQna?oper=detail&amp;no=7473&amp;_=1749774844191</t>
    <phoneticPr fontId="54" type="noConversion"/>
  </si>
  <si>
    <t>사용자 검증이 미흡하여 문의 상세 페이지 조회 시 no 값 변조를 통해 조회 권한이 없는 타 사용자의 게시글 확인이 가능함
※ 이 외 동일한 로직의 기능에 대해서 전수 조치 필요</t>
    <phoneticPr fontId="5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</si>
</sst>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119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14" fontId="61" fillId="0" borderId="1" xfId="0" applyNumberFormat="1" applyFont="1" applyBorder="1" applyAlignment="1">
      <alignment horizontal="center" vertical="center"/>
    </xf>
    <xf numFmtId="0" fontId="61" fillId="0" borderId="8" xfId="0" applyFont="1" applyBorder="1">
      <alignment vertical="center"/>
    </xf>
    <xf numFmtId="0" fontId="61" fillId="7" borderId="1" xfId="0" applyFont="1" applyFill="1" applyBorder="1">
      <alignment vertical="center"/>
    </xf>
    <xf numFmtId="0" fontId="57" fillId="7" borderId="1" xfId="0" applyFont="1" applyFill="1" applyBorder="1">
      <alignment vertical="center"/>
    </xf>
    <xf numFmtId="14" fontId="61" fillId="0" borderId="10" xfId="0" applyNumberFormat="1" applyFont="1" applyBorder="1" applyAlignment="1">
      <alignment horizontal="center" vertical="center"/>
    </xf>
    <xf numFmtId="0" fontId="57" fillId="0" borderId="11" xfId="0" applyFont="1" applyBorder="1">
      <alignment vertical="center"/>
    </xf>
    <xf numFmtId="0" fontId="61" fillId="6" borderId="11" xfId="0" applyFont="1" applyFill="1" applyBorder="1" applyAlignment="1">
      <alignment horizontal="center" vertical="center"/>
    </xf>
    <xf numFmtId="0" fontId="61" fillId="0" borderId="12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11" xfId="0" applyFont="1" applyBorder="1">
      <alignment vertical="center"/>
    </xf>
    <xf numFmtId="0" fontId="61" fillId="0" borderId="11" xfId="0" applyFont="1" applyBorder="1" applyAlignment="1">
      <alignment vertical="top"/>
    </xf>
    <xf numFmtId="0" fontId="61" fillId="0" borderId="11" xfId="0" quotePrefix="1" applyFont="1" applyBorder="1">
      <alignment vertical="center"/>
    </xf>
    <xf numFmtId="0" fontId="61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vertical="top" wrapText="1"/>
    </xf>
    <xf numFmtId="0" fontId="57" fillId="0" borderId="11" xfId="0" applyFont="1" applyBorder="1" applyAlignment="1">
      <alignment vertical="center" wrapText="1"/>
    </xf>
    <xf numFmtId="0" fontId="57" fillId="0" borderId="10" xfId="0" applyFont="1" applyBorder="1" applyAlignment="1">
      <alignment vertical="center" wrapText="1"/>
    </xf>
    <xf numFmtId="0" fontId="62" fillId="0" borderId="1" xfId="0" applyFont="1" applyBorder="1" applyAlignment="1">
      <alignment vertical="top"/>
    </xf>
    <xf numFmtId="0" fontId="62" fillId="0" borderId="1" xfId="0" applyFont="1" applyBorder="1" applyAlignment="1">
      <alignment vertical="top" wrapText="1"/>
    </xf>
    <xf numFmtId="0" fontId="55" fillId="0" borderId="1" xfId="0" applyFont="1" applyBorder="1" applyAlignment="1">
      <alignment horizontal="left" vertical="center" wrapText="1"/>
    </xf>
    <xf numFmtId="14" fontId="57" fillId="0" borderId="1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vertical="center" wrapText="1"/>
    </xf>
    <xf numFmtId="0" fontId="62" fillId="0" borderId="1" xfId="0" applyFont="1" applyBorder="1" applyAlignment="1">
      <alignment vertical="center" wrapText="1"/>
    </xf>
    <xf numFmtId="14" fontId="55" fillId="0" borderId="10" xfId="0" applyNumberFormat="1" applyFont="1" applyBorder="1" applyAlignment="1">
      <alignment horizontal="center" vertical="center"/>
    </xf>
    <xf numFmtId="0" fontId="66" fillId="0" borderId="11" xfId="0" applyFont="1" applyBorder="1" applyAlignment="1">
      <alignment horizontal="left" vertical="center"/>
    </xf>
    <xf numFmtId="0" fontId="66" fillId="0" borderId="8" xfId="0" applyFont="1" applyBorder="1" applyAlignment="1">
      <alignment horizontal="left" vertical="center"/>
    </xf>
    <xf numFmtId="0" fontId="61" fillId="6" borderId="1" xfId="0" applyFont="1" applyFill="1" applyBorder="1" applyAlignment="1">
      <alignment horizontal="center" vertical="center"/>
    </xf>
    <xf numFmtId="0" fontId="55" fillId="3" borderId="11" xfId="0" applyFont="1" applyFill="1" applyBorder="1" applyAlignment="1" applyProtection="1">
      <alignment horizontal="center" vertical="center"/>
      <protection locked="0"/>
    </xf>
    <xf numFmtId="0" fontId="66" fillId="0" borderId="11" xfId="0" applyFont="1" applyBorder="1" applyAlignment="1">
      <alignment horizontal="center" vertical="center"/>
    </xf>
    <xf numFmtId="0" fontId="61" fillId="0" borderId="3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0" fontId="55" fillId="0" borderId="9" xfId="0" applyFont="1" applyBorder="1" applyAlignment="1">
      <alignment horizontal="center" vertical="center"/>
    </xf>
    <xf numFmtId="0" fontId="61" fillId="6" borderId="1" xfId="0" applyFont="1" applyFill="1" applyBorder="1">
      <alignment vertical="center"/>
    </xf>
    <xf numFmtId="0" fontId="61" fillId="0" borderId="1" xfId="0" quotePrefix="1" applyFont="1" applyBorder="1">
      <alignment vertical="center"/>
    </xf>
    <xf numFmtId="0" fontId="55" fillId="0" borderId="11" xfId="0" applyFont="1" applyBorder="1" applyAlignment="1">
      <alignment horizontal="center" vertical="center"/>
    </xf>
    <xf numFmtId="0" fontId="61" fillId="0" borderId="1" xfId="0" applyFont="1" applyBorder="1">
      <alignment vertical="center"/>
    </xf>
    <xf numFmtId="0" fontId="55" fillId="0" borderId="8" xfId="0" applyFont="1" applyBorder="1" applyAlignment="1">
      <alignment horizontal="center" vertical="center"/>
    </xf>
    <xf numFmtId="0" fontId="55" fillId="0" borderId="11" xfId="0" applyFont="1" applyBorder="1" applyAlignment="1">
      <alignment horizontal="left" vertical="center"/>
    </xf>
    <xf numFmtId="0" fontId="55" fillId="0" borderId="8" xfId="0" applyFont="1" applyBorder="1" applyAlignment="1">
      <alignment horizontal="left" vertical="center"/>
    </xf>
    <xf numFmtId="0" fontId="61" fillId="0" borderId="1" xfId="0" applyFont="1" applyBorder="1" applyAlignment="1">
      <alignment vertical="top"/>
    </xf>
    <xf numFmtId="0" fontId="61" fillId="0" borderId="1" xfId="0" applyFont="1" applyBorder="1" applyAlignment="1">
      <alignment vertical="top" wrapText="1"/>
    </xf>
    <xf numFmtId="0" fontId="55" fillId="0" borderId="11" xfId="0" quotePrefix="1" applyFont="1" applyBorder="1" applyAlignment="1">
      <alignment horizontal="left" vertical="center"/>
    </xf>
    <xf numFmtId="0" fontId="55" fillId="0" borderId="8" xfId="0" quotePrefix="1" applyFont="1" applyBorder="1" applyAlignment="1">
      <alignment horizontal="left" vertical="center"/>
    </xf>
    <xf numFmtId="0" fontId="55" fillId="3" borderId="11" xfId="0" applyFont="1" applyFill="1" applyBorder="1" applyAlignment="1">
      <alignment horizontal="center" vertical="center"/>
    </xf>
    <xf numFmtId="0" fontId="55" fillId="3" borderId="8" xfId="0" applyFont="1" applyFill="1" applyBorder="1" applyAlignment="1">
      <alignment horizontal="center" vertical="center"/>
    </xf>
    <xf numFmtId="14" fontId="57" fillId="0" borderId="10" xfId="0" applyNumberFormat="1" applyFont="1" applyBorder="1" applyAlignment="1">
      <alignment horizontal="center" vertical="center"/>
    </xf>
    <xf numFmtId="0" fontId="57" fillId="0" borderId="11" xfId="0" applyFont="1" applyBorder="1" applyAlignment="1">
      <alignment horizontal="left" vertical="center"/>
    </xf>
    <xf numFmtId="0" fontId="57" fillId="0" borderId="11" xfId="0" applyFont="1" applyBorder="1" applyAlignment="1">
      <alignment horizontal="center" vertical="center"/>
    </xf>
    <xf numFmtId="0" fontId="55" fillId="3" borderId="8" xfId="0" applyFont="1" applyFill="1" applyBorder="1" applyAlignment="1" applyProtection="1">
      <alignment horizontal="center" vertical="center"/>
      <protection locked="0"/>
    </xf>
    <xf numFmtId="0" fontId="62" fillId="0" borderId="10" xfId="0" applyFont="1" applyBorder="1" applyAlignment="1">
      <alignment vertical="center" wrapText="1"/>
    </xf>
    <xf numFmtId="0" fontId="55" fillId="0" borderId="11" xfId="0" applyFont="1" applyBorder="1" applyAlignment="1">
      <alignment horizontal="left" vertical="top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vertical="center" wrapText="1"/>
    </xf>
    <xf numFmtId="0" fontId="62" fillId="0" borderId="10" xfId="0" applyFont="1" applyBorder="1" applyAlignment="1">
      <alignment vertical="top" wrapText="1"/>
    </xf>
    <xf numFmtId="0" fontId="55" fillId="0" borderId="8" xfId="0" applyFont="1" applyBorder="1" applyAlignment="1">
      <alignment horizontal="left" vertical="center" wrapText="1"/>
    </xf>
    <xf numFmtId="0" fontId="55" fillId="0" borderId="11" xfId="0" applyFont="1" applyBorder="1" applyAlignment="1">
      <alignment horizontal="left" vertical="center" wrapText="1"/>
    </xf>
    <xf numFmtId="0" fontId="55" fillId="0" borderId="13" xfId="0" applyFont="1" applyBorder="1" applyAlignment="1">
      <alignment horizontal="left" vertical="center" wrapText="1"/>
    </xf>
    <xf numFmtId="0" fontId="71" fillId="0" borderId="11" xfId="64290" applyBorder="1" applyAlignment="1">
      <alignment vertical="top" wrapText="1"/>
    </xf>
    <xf numFmtId="0" fontId="0" fillId="0" borderId="0" xfId="0" applyAlignment="1">
      <alignment horizontal="left" vertical="center" wrapText="1"/>
    </xf>
    <xf numFmtId="0" fontId="61" fillId="0" borderId="1" xfId="0" applyFont="1" applyBorder="1" applyAlignment="1">
      <alignment vertical="center" wrapText="1"/>
    </xf>
    <xf numFmtId="0" fontId="61" fillId="0" borderId="11" xfId="0" quotePrefix="1" applyFont="1" applyBorder="1" applyAlignment="1">
      <alignment vertical="center" wrapText="1"/>
    </xf>
    <xf numFmtId="0" fontId="61" fillId="0" borderId="11" xfId="0" applyFont="1" applyBorder="1" applyAlignment="1">
      <alignment vertical="center" wrapText="1"/>
    </xf>
    <xf numFmtId="14" fontId="55" fillId="3" borderId="1" xfId="0" applyNumberFormat="1" applyFont="1" applyFill="1" applyBorder="1" applyAlignment="1">
      <alignment horizontal="left" vertical="center" wrapText="1"/>
    </xf>
    <xf numFmtId="0" fontId="61" fillId="6" borderId="1" xfId="0" applyFont="1" applyFill="1" applyBorder="1" applyAlignment="1">
      <alignment vertical="center" wrapText="1"/>
    </xf>
    <xf numFmtId="14" fontId="55" fillId="3" borderId="8" xfId="0" applyNumberFormat="1" applyFont="1" applyFill="1" applyBorder="1" applyAlignment="1">
      <alignment horizontal="left" vertical="center" wrapText="1"/>
    </xf>
    <xf numFmtId="14" fontId="55" fillId="3" borderId="11" xfId="0" applyNumberFormat="1" applyFont="1" applyFill="1" applyBorder="1" applyAlignment="1">
      <alignment horizontal="left" vertical="center" wrapText="1"/>
    </xf>
    <xf numFmtId="0" fontId="61" fillId="6" borderId="11" xfId="0" applyFont="1" applyFill="1" applyBorder="1" applyAlignment="1">
      <alignment vertical="center" wrapText="1"/>
    </xf>
    <xf numFmtId="0" fontId="55" fillId="0" borderId="1" xfId="0" quotePrefix="1" applyFont="1" applyBorder="1" applyAlignment="1">
      <alignment horizontal="left" vertical="center" wrapText="1"/>
    </xf>
    <xf numFmtId="0" fontId="61" fillId="0" borderId="1" xfId="0" quotePrefix="1" applyFont="1" applyBorder="1" applyAlignment="1">
      <alignment vertical="center" wrapText="1"/>
    </xf>
    <xf numFmtId="0" fontId="55" fillId="0" borderId="8" xfId="0" quotePrefix="1" applyFont="1" applyBorder="1" applyAlignment="1">
      <alignment horizontal="left" vertical="center" wrapText="1"/>
    </xf>
    <xf numFmtId="0" fontId="55" fillId="0" borderId="11" xfId="0" quotePrefix="1" applyFont="1" applyBorder="1" applyAlignment="1">
      <alignment horizontal="left" vertical="center" wrapText="1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10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12"/>
      <tableStyleElement type="headerRow" dxfId="1011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28.431983564813" createdVersion="8" refreshedVersion="8" minRefreshableVersion="3" recordCount="103" xr:uid="{D69C3CDC-BD69-47BF-8DE6-D514E3088CAA}">
  <cacheSource type="worksheet">
    <worksheetSource ref="B2:H105" sheet="02. 취약점 상세"/>
  </cacheSource>
  <cacheFields count="7">
    <cacheField name="점검일" numFmtId="14">
      <sharedItems containsSemiMixedTypes="0" containsNonDate="0" containsDate="1" containsString="0" minDate="2025-06-11T00:00:00" maxDate="2025-06-20T00:00:00"/>
    </cacheField>
    <cacheField name="관계사" numFmtId="0">
      <sharedItems/>
    </cacheField>
    <cacheField name="대상명" numFmtId="0">
      <sharedItems/>
    </cacheField>
    <cacheField name="구분_x000a_(입력X)" numFmtId="0">
      <sharedItems/>
    </cacheField>
    <cacheField name="코드" numFmtId="0">
      <sharedItems count="13">
        <s v="W-005"/>
        <s v="W-009"/>
        <s v="W-011"/>
        <s v="W-013"/>
        <s v="W-017"/>
        <s v="W-018"/>
        <s v="W-019"/>
        <s v="W-020"/>
        <s v="W-023"/>
        <s v="W-037"/>
        <s v="W-129"/>
        <s v="W-135"/>
        <s v="W-233"/>
      </sharedItems>
    </cacheField>
    <cacheField name="취약점 명_x000a_(입력X)" numFmtId="0">
      <sharedItems count="13">
        <s v="SQL 인젝션"/>
        <s v="정보 누출"/>
        <s v="크로스사이트 스크립팅(XSS)"/>
        <s v="불충분한 인증"/>
        <s v="불충분한 인가"/>
        <s v="불충분한 세션만료"/>
        <s v="세션고정"/>
        <s v="프로세스 검증 누락"/>
        <s v="관리자페이지 노출"/>
        <s v="자동화 공격"/>
        <s v="취약한 HTTPS 암호 알고리즘 이용"/>
        <s v="비밀번호 오류횟수 제한기능 제공 여부"/>
        <s v="크리덴셜 스터핑"/>
      </sharedItems>
    </cacheField>
    <cacheField name="위험 등급" numFmtId="0">
      <sharedItems count="3">
        <s v="상"/>
        <s v="하"/>
        <s v="중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d v="2025-06-13T00:00:00"/>
    <s v="팬택씨앤아이"/>
    <s v="OKPlaza(운영사)"/>
    <s v="WEB"/>
    <x v="0"/>
    <x v="0"/>
    <x v="0"/>
  </r>
  <r>
    <d v="2025-06-11T00:00:00"/>
    <s v="팬택씨앤아이"/>
    <s v="OKPlaza(홈앤서비스)"/>
    <s v="WEB"/>
    <x v="1"/>
    <x v="1"/>
    <x v="1"/>
  </r>
  <r>
    <d v="2025-06-16T00:00:00"/>
    <s v="팬택씨앤아이"/>
    <s v="OKPlaza(홈앤서비스)"/>
    <s v="WEB"/>
    <x v="1"/>
    <x v="1"/>
    <x v="1"/>
  </r>
  <r>
    <d v="2025-06-17T00:00:00"/>
    <s v="팬택씨앤아이"/>
    <s v="OKPlaza(공급사)"/>
    <s v="WEB"/>
    <x v="1"/>
    <x v="1"/>
    <x v="1"/>
  </r>
  <r>
    <d v="2025-06-18T00:00:00"/>
    <s v="팬택씨앤아이"/>
    <s v="OKPlaza(일반구매사)"/>
    <s v="WEB"/>
    <x v="1"/>
    <x v="1"/>
    <x v="1"/>
  </r>
  <r>
    <d v="2025-06-18T00:00:00"/>
    <s v="팬택씨앤아이"/>
    <s v="OKPlaza(일반구매사)"/>
    <s v="WEB"/>
    <x v="1"/>
    <x v="1"/>
    <x v="1"/>
  </r>
  <r>
    <d v="2025-06-17T00:00:00"/>
    <s v="팬택씨앤아이"/>
    <s v="OKPlaza(공급사)"/>
    <s v="WEB"/>
    <x v="1"/>
    <x v="1"/>
    <x v="1"/>
  </r>
  <r>
    <d v="2025-06-18T00:00:00"/>
    <s v="팬택씨앤아이"/>
    <s v="OKPlaza(일반구매사)"/>
    <s v="WEB"/>
    <x v="1"/>
    <x v="1"/>
    <x v="1"/>
  </r>
  <r>
    <d v="2025-06-18T00:00:00"/>
    <s v="팬택씨앤아이"/>
    <s v="OKPlaza(공급사)"/>
    <s v="WEB"/>
    <x v="1"/>
    <x v="1"/>
    <x v="1"/>
  </r>
  <r>
    <d v="2025-06-18T00:00:00"/>
    <s v="팬택씨앤아이"/>
    <s v="OKPlaza(OKSafety)"/>
    <s v="WEB"/>
    <x v="1"/>
    <x v="1"/>
    <x v="1"/>
  </r>
  <r>
    <d v="2025-06-18T00:00:00"/>
    <s v="팬택씨앤아이"/>
    <s v="OKPlaza(OKSafety)"/>
    <s v="WEB"/>
    <x v="1"/>
    <x v="1"/>
    <x v="1"/>
  </r>
  <r>
    <d v="2025-06-12T00:00:00"/>
    <s v="팬택씨앤아이"/>
    <s v="OKPlaza(운영사)"/>
    <s v="WEB"/>
    <x v="1"/>
    <x v="1"/>
    <x v="1"/>
  </r>
  <r>
    <d v="2025-06-12T00:00:00"/>
    <s v="팬택씨앤아이"/>
    <s v="OKPlaza(운영사)"/>
    <s v="WEB"/>
    <x v="1"/>
    <x v="1"/>
    <x v="1"/>
  </r>
  <r>
    <d v="2025-06-12T00:00:00"/>
    <s v="팬택씨앤아이"/>
    <s v="OKPlaza(운영사)"/>
    <s v="WEB"/>
    <x v="1"/>
    <x v="1"/>
    <x v="1"/>
  </r>
  <r>
    <d v="2025-06-17T00:00:00"/>
    <s v="팬택씨앤아이"/>
    <s v="전자입찰"/>
    <s v="WEB"/>
    <x v="1"/>
    <x v="1"/>
    <x v="1"/>
  </r>
  <r>
    <d v="2025-06-19T00:00:00"/>
    <s v="팬택씨앤아이"/>
    <s v="전자입찰"/>
    <s v="WEB"/>
    <x v="1"/>
    <x v="1"/>
    <x v="1"/>
  </r>
  <r>
    <d v="2025-06-17T00:00:00"/>
    <s v="팬택씨앤아이"/>
    <s v="전자입찰"/>
    <s v="WEB"/>
    <x v="1"/>
    <x v="1"/>
    <x v="1"/>
  </r>
  <r>
    <d v="2025-06-17T00:00:00"/>
    <s v="팬택씨앤아이"/>
    <s v="전자입찰"/>
    <s v="WEB"/>
    <x v="1"/>
    <x v="1"/>
    <x v="1"/>
  </r>
  <r>
    <d v="2025-06-11T00:00:00"/>
    <s v="팬택씨앤아이"/>
    <s v="팬타온"/>
    <s v="WEB"/>
    <x v="1"/>
    <x v="1"/>
    <x v="1"/>
  </r>
  <r>
    <d v="2025-06-11T00:00:00"/>
    <s v="팬택씨앤아이"/>
    <s v="팬타온"/>
    <s v="WEB"/>
    <x v="1"/>
    <x v="1"/>
    <x v="1"/>
  </r>
  <r>
    <d v="2025-06-12T00:00:00"/>
    <s v="팬택씨앤아이"/>
    <s v="팬타온"/>
    <s v="WEB"/>
    <x v="2"/>
    <x v="2"/>
    <x v="2"/>
  </r>
  <r>
    <d v="2025-06-11T00:00:00"/>
    <s v="팬택씨앤아이"/>
    <s v="OKPlaza(홈앤서비스)"/>
    <s v="WEB"/>
    <x v="2"/>
    <x v="2"/>
    <x v="2"/>
  </r>
  <r>
    <d v="2025-06-11T00:00:00"/>
    <s v="팬택씨앤아이"/>
    <s v="OKPlaza(홈앤서비스)"/>
    <s v="WEB"/>
    <x v="2"/>
    <x v="2"/>
    <x v="2"/>
  </r>
  <r>
    <d v="2025-06-13T00:00:00"/>
    <s v="팬택씨앤아이"/>
    <s v="OKPlaza(홈앤서비스)"/>
    <s v="WEB"/>
    <x v="2"/>
    <x v="2"/>
    <x v="2"/>
  </r>
  <r>
    <d v="2025-06-18T00:00:00"/>
    <s v="팬택씨앤아이"/>
    <s v="OKPlaza(일반구매사)"/>
    <s v="WEB"/>
    <x v="2"/>
    <x v="2"/>
    <x v="2"/>
  </r>
  <r>
    <d v="2025-06-18T00:00:00"/>
    <s v="팬택씨앤아이"/>
    <s v="OKPlaza(일반구매사)"/>
    <s v="WEB"/>
    <x v="2"/>
    <x v="2"/>
    <x v="2"/>
  </r>
  <r>
    <d v="2025-06-17T00:00:00"/>
    <s v="팬택씨앤아이"/>
    <s v="OKPlaza(공급사)"/>
    <s v="WEB"/>
    <x v="2"/>
    <x v="2"/>
    <x v="2"/>
  </r>
  <r>
    <d v="2025-06-18T00:00:00"/>
    <s v="팬택씨앤아이"/>
    <s v="OKPlaza(공급사)"/>
    <s v="WEB"/>
    <x v="2"/>
    <x v="2"/>
    <x v="2"/>
  </r>
  <r>
    <d v="2025-06-18T00:00:00"/>
    <s v="팬택씨앤아이"/>
    <s v="OKPlaza(OKSafety)"/>
    <s v="WEB"/>
    <x v="2"/>
    <x v="2"/>
    <x v="2"/>
  </r>
  <r>
    <d v="2025-06-18T00:00:00"/>
    <s v="팬택씨앤아이"/>
    <s v="OKPlaza(OKSafety)"/>
    <s v="WEB"/>
    <x v="2"/>
    <x v="2"/>
    <x v="2"/>
  </r>
  <r>
    <d v="2025-06-18T00:00:00"/>
    <s v="팬택씨앤아이"/>
    <s v="OKPlaza(OKSafety)"/>
    <s v="WEB"/>
    <x v="2"/>
    <x v="2"/>
    <x v="2"/>
  </r>
  <r>
    <d v="2025-06-12T00:00:00"/>
    <s v="팬택씨앤아이"/>
    <s v="OKPlaza(운영사)"/>
    <s v="WEB"/>
    <x v="2"/>
    <x v="2"/>
    <x v="2"/>
  </r>
  <r>
    <d v="2025-06-12T00:00:00"/>
    <s v="팬택씨앤아이"/>
    <s v="OKPlaza(운영사)"/>
    <s v="WEB"/>
    <x v="2"/>
    <x v="2"/>
    <x v="2"/>
  </r>
  <r>
    <d v="2025-06-16T00:00:00"/>
    <s v="팬택씨앤아이"/>
    <s v="OKPlaza(운영사)"/>
    <s v="WEB"/>
    <x v="2"/>
    <x v="2"/>
    <x v="2"/>
  </r>
  <r>
    <d v="2025-06-13T00:00:00"/>
    <s v="팬택씨앤아이"/>
    <s v="OKPlaza(운영사)"/>
    <s v="WEB"/>
    <x v="2"/>
    <x v="2"/>
    <x v="2"/>
  </r>
  <r>
    <d v="2025-06-19T00:00:00"/>
    <s v="팬택씨앤아이"/>
    <s v="전자입찰"/>
    <s v="WEB"/>
    <x v="2"/>
    <x v="2"/>
    <x v="2"/>
  </r>
  <r>
    <d v="2025-06-19T00:00:00"/>
    <s v="팬택씨앤아이"/>
    <s v="전자입찰"/>
    <s v="WEB"/>
    <x v="2"/>
    <x v="2"/>
    <x v="2"/>
  </r>
  <r>
    <d v="2025-06-17T00:00:00"/>
    <s v="팬택씨앤아이"/>
    <s v="전자입찰"/>
    <s v="WEB"/>
    <x v="2"/>
    <x v="2"/>
    <x v="2"/>
  </r>
  <r>
    <d v="2025-06-12T00:00:00"/>
    <s v="팬택씨앤아이"/>
    <s v="팬타온"/>
    <s v="WEB"/>
    <x v="2"/>
    <x v="2"/>
    <x v="2"/>
  </r>
  <r>
    <d v="2025-06-19T00:00:00"/>
    <s v="팬택씨앤아이"/>
    <s v="팬타온"/>
    <s v="WEB"/>
    <x v="2"/>
    <x v="2"/>
    <x v="2"/>
  </r>
  <r>
    <d v="2025-06-12T00:00:00"/>
    <s v="팬택씨앤아이"/>
    <s v="OKPlaza(홈앤서비스)"/>
    <s v="WEB"/>
    <x v="3"/>
    <x v="3"/>
    <x v="2"/>
  </r>
  <r>
    <d v="2025-06-17T00:00:00"/>
    <s v="팬택씨앤아이"/>
    <s v="OKPlaza(공급사)"/>
    <s v="WEB"/>
    <x v="3"/>
    <x v="3"/>
    <x v="2"/>
  </r>
  <r>
    <d v="2025-06-18T00:00:00"/>
    <s v="팬택씨앤아이"/>
    <s v="OKPlaza(일반구매사)"/>
    <s v="WEB"/>
    <x v="3"/>
    <x v="3"/>
    <x v="2"/>
  </r>
  <r>
    <d v="2025-06-19T00:00:00"/>
    <s v="팬택씨앤아이"/>
    <s v="OKPlaza(OKSafety)"/>
    <s v="WEB"/>
    <x v="3"/>
    <x v="3"/>
    <x v="2"/>
  </r>
  <r>
    <d v="2025-06-16T00:00:00"/>
    <s v="팬택씨앤아이"/>
    <s v="OKPlaza(운영사)"/>
    <s v="WEB"/>
    <x v="3"/>
    <x v="3"/>
    <x v="2"/>
  </r>
  <r>
    <d v="2025-06-13T00:00:00"/>
    <s v="팬택씨앤아이"/>
    <s v="OKPlaza(운영사)"/>
    <s v="WEB"/>
    <x v="3"/>
    <x v="3"/>
    <x v="2"/>
  </r>
  <r>
    <d v="2025-06-17T00:00:00"/>
    <s v="팬택씨앤아이"/>
    <s v="전자입찰"/>
    <s v="WEB"/>
    <x v="3"/>
    <x v="3"/>
    <x v="2"/>
  </r>
  <r>
    <d v="2025-06-11T00:00:00"/>
    <s v="팬택씨앤아이"/>
    <s v="팬타온"/>
    <s v="WEB"/>
    <x v="3"/>
    <x v="3"/>
    <x v="2"/>
  </r>
  <r>
    <d v="2025-06-11T00:00:00"/>
    <s v="팬택씨앤아이"/>
    <s v="OKPlaza(홈앤서비스)"/>
    <s v="WEB"/>
    <x v="4"/>
    <x v="4"/>
    <x v="2"/>
  </r>
  <r>
    <d v="2025-06-13T00:00:00"/>
    <s v="팬택씨앤아이"/>
    <s v="OKPlaza(홈앤서비스)"/>
    <s v="WEB"/>
    <x v="4"/>
    <x v="4"/>
    <x v="2"/>
  </r>
  <r>
    <d v="2025-06-11T00:00:00"/>
    <s v="팬택씨앤아이"/>
    <s v="OKPlaza(홈앤서비스)"/>
    <s v="WEB"/>
    <x v="4"/>
    <x v="4"/>
    <x v="2"/>
  </r>
  <r>
    <d v="2025-06-16T00:00:00"/>
    <s v="팬택씨앤아이"/>
    <s v="OKPlaza(홈앤서비스)"/>
    <s v="WEB"/>
    <x v="4"/>
    <x v="4"/>
    <x v="2"/>
  </r>
  <r>
    <d v="2025-06-12T00:00:00"/>
    <s v="팬택씨앤아이"/>
    <s v="OKPlaza(홈앤서비스)"/>
    <s v="WEB"/>
    <x v="4"/>
    <x v="4"/>
    <x v="2"/>
  </r>
  <r>
    <d v="2025-06-16T00:00:00"/>
    <s v="팬택씨앤아이"/>
    <s v="OKPlaza(홈앤서비스)"/>
    <s v="WEB"/>
    <x v="4"/>
    <x v="4"/>
    <x v="2"/>
  </r>
  <r>
    <d v="2025-06-16T00:00:00"/>
    <s v="팬택씨앤아이"/>
    <s v="OKPlaza(홈앤서비스)"/>
    <s v="WEB"/>
    <x v="4"/>
    <x v="4"/>
    <x v="2"/>
  </r>
  <r>
    <d v="2025-06-19T00:00:00"/>
    <s v="팬택씨앤아이"/>
    <s v="OKPlaza(일반구매사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OKPlaza(OKSafety)"/>
    <s v="WEB"/>
    <x v="4"/>
    <x v="4"/>
    <x v="2"/>
  </r>
  <r>
    <d v="2025-06-19T00:00:00"/>
    <s v="팬택씨앤아이"/>
    <s v="전자입찰"/>
    <s v="WEB"/>
    <x v="4"/>
    <x v="4"/>
    <x v="2"/>
  </r>
  <r>
    <d v="2025-06-19T00:00:00"/>
    <s v="팬택씨앤아이"/>
    <s v="전자입찰"/>
    <s v="WEB"/>
    <x v="4"/>
    <x v="4"/>
    <x v="2"/>
  </r>
  <r>
    <d v="2025-06-18T00:00:00"/>
    <s v="팬택씨앤아이"/>
    <s v="전자입찰"/>
    <s v="WEB"/>
    <x v="4"/>
    <x v="4"/>
    <x v="2"/>
  </r>
  <r>
    <d v="2025-06-18T00:00:00"/>
    <s v="팬택씨앤아이"/>
    <s v="전자입찰"/>
    <s v="WEB"/>
    <x v="4"/>
    <x v="4"/>
    <x v="2"/>
  </r>
  <r>
    <d v="2025-06-17T00:00:00"/>
    <s v="팬택씨앤아이"/>
    <s v="전자입찰"/>
    <s v="WEB"/>
    <x v="4"/>
    <x v="4"/>
    <x v="2"/>
  </r>
  <r>
    <d v="2025-06-18T00:00:00"/>
    <s v="팬택씨앤아이"/>
    <s v="전자입찰"/>
    <s v="WEB"/>
    <x v="4"/>
    <x v="4"/>
    <x v="2"/>
  </r>
  <r>
    <d v="2025-06-11T00:00:00"/>
    <s v="팬택씨앤아이"/>
    <s v="팬타온"/>
    <s v="WEB"/>
    <x v="4"/>
    <x v="4"/>
    <x v="2"/>
  </r>
  <r>
    <d v="2025-06-11T00:00:00"/>
    <s v="팬택씨앤아이"/>
    <s v="팬타온"/>
    <s v="WEB"/>
    <x v="4"/>
    <x v="4"/>
    <x v="2"/>
  </r>
  <r>
    <d v="2025-06-12T00:00:00"/>
    <s v="팬택씨앤아이"/>
    <s v="팬타온"/>
    <s v="WEB"/>
    <x v="4"/>
    <x v="4"/>
    <x v="2"/>
  </r>
  <r>
    <d v="2025-06-19T00:00:00"/>
    <s v="팬택씨앤아이"/>
    <s v="OKPlaza(공급사)"/>
    <s v="WEB"/>
    <x v="5"/>
    <x v="5"/>
    <x v="1"/>
  </r>
  <r>
    <d v="2025-06-19T00:00:00"/>
    <s v="팬택씨앤아이"/>
    <s v="OKPlaza(일반구매사)"/>
    <s v="WEB"/>
    <x v="5"/>
    <x v="5"/>
    <x v="1"/>
  </r>
  <r>
    <d v="2025-06-12T00:00:00"/>
    <s v="팬택씨앤아이"/>
    <s v="OKPlaza(운영사)"/>
    <s v="WEB"/>
    <x v="5"/>
    <x v="5"/>
    <x v="1"/>
  </r>
  <r>
    <d v="2025-06-17T00:00:00"/>
    <s v="팬택씨앤아이"/>
    <s v="전자입찰"/>
    <s v="WEB"/>
    <x v="5"/>
    <x v="5"/>
    <x v="1"/>
  </r>
  <r>
    <d v="2025-06-19T00:00:00"/>
    <s v="팬택씨앤아이"/>
    <s v="팬타온"/>
    <s v="WEB"/>
    <x v="5"/>
    <x v="5"/>
    <x v="1"/>
  </r>
  <r>
    <d v="2025-06-16T00:00:00"/>
    <s v="팬택씨앤아이"/>
    <s v="OKPlaza(홈앤서비스)"/>
    <s v="WEB"/>
    <x v="6"/>
    <x v="6"/>
    <x v="1"/>
  </r>
  <r>
    <d v="2025-06-17T00:00:00"/>
    <s v="팬택씨앤아이"/>
    <s v="OKPlaza(공급사)"/>
    <s v="WEB"/>
    <x v="6"/>
    <x v="6"/>
    <x v="1"/>
  </r>
  <r>
    <d v="2025-06-19T00:00:00"/>
    <s v="팬택씨앤아이"/>
    <s v="OKPlaza(일반구매사)"/>
    <s v="WEB"/>
    <x v="6"/>
    <x v="6"/>
    <x v="1"/>
  </r>
  <r>
    <d v="2025-06-19T00:00:00"/>
    <s v="팬택씨앤아이"/>
    <s v="OKPlaza(OKSafety)"/>
    <s v="WEB"/>
    <x v="6"/>
    <x v="6"/>
    <x v="1"/>
  </r>
  <r>
    <d v="2025-06-16T00:00:00"/>
    <s v="팬택씨앤아이"/>
    <s v="OKPlaza(운영사)"/>
    <s v="WEB"/>
    <x v="6"/>
    <x v="6"/>
    <x v="1"/>
  </r>
  <r>
    <d v="2025-06-17T00:00:00"/>
    <s v="팬택씨앤아이"/>
    <s v="전자입찰"/>
    <s v="WEB"/>
    <x v="6"/>
    <x v="6"/>
    <x v="1"/>
  </r>
  <r>
    <d v="2025-06-19T00:00:00"/>
    <s v="팬택씨앤아이"/>
    <s v="전자입찰"/>
    <s v="WEB"/>
    <x v="7"/>
    <x v="7"/>
    <x v="2"/>
  </r>
  <r>
    <d v="2025-06-13T00:00:00"/>
    <s v="팬택씨앤아이"/>
    <s v="OKPlaza(운영사)"/>
    <s v="WEB"/>
    <x v="8"/>
    <x v="8"/>
    <x v="1"/>
  </r>
  <r>
    <d v="2025-06-16T00:00:00"/>
    <s v="팬택씨앤아이"/>
    <s v="OKPlaza(홈앤서비스)"/>
    <s v="WEB"/>
    <x v="9"/>
    <x v="9"/>
    <x v="1"/>
  </r>
  <r>
    <d v="2025-06-19T00:00:00"/>
    <s v="팬택씨앤아이"/>
    <s v="OKPlaza(OKSafety)"/>
    <s v="WEB"/>
    <x v="9"/>
    <x v="9"/>
    <x v="1"/>
  </r>
  <r>
    <d v="2025-06-13T00:00:00"/>
    <s v="팬택씨앤아이"/>
    <s v="OKPlaza(홈앤서비스)"/>
    <s v="WEB"/>
    <x v="10"/>
    <x v="10"/>
    <x v="1"/>
  </r>
  <r>
    <d v="2025-06-17T00:00:00"/>
    <s v="팬택씨앤아이"/>
    <s v="OKPlaza(공급사)"/>
    <s v="WEB"/>
    <x v="10"/>
    <x v="10"/>
    <x v="1"/>
  </r>
  <r>
    <d v="2025-06-12T00:00:00"/>
    <s v="팬택씨앤아이"/>
    <s v="OKPlaza(일반구매사)"/>
    <s v="WEB"/>
    <x v="10"/>
    <x v="10"/>
    <x v="1"/>
  </r>
  <r>
    <d v="2025-06-19T00:00:00"/>
    <s v="팬택씨앤아이"/>
    <s v="OKPlaza(OKSafety)"/>
    <s v="WEB"/>
    <x v="10"/>
    <x v="10"/>
    <x v="1"/>
  </r>
  <r>
    <d v="2025-06-12T00:00:00"/>
    <s v="팬택씨앤아이"/>
    <s v="OKPlaza(운영사)"/>
    <s v="WEB"/>
    <x v="10"/>
    <x v="10"/>
    <x v="1"/>
  </r>
  <r>
    <d v="2025-06-17T00:00:00"/>
    <s v="팬택씨앤아이"/>
    <s v="전자입찰"/>
    <s v="WEB"/>
    <x v="10"/>
    <x v="10"/>
    <x v="1"/>
  </r>
  <r>
    <d v="2025-06-11T00:00:00"/>
    <s v="팬택씨앤아이"/>
    <s v="팬타온"/>
    <s v="WEB"/>
    <x v="10"/>
    <x v="10"/>
    <x v="1"/>
  </r>
  <r>
    <d v="2025-06-18T00:00:00"/>
    <s v="팬택씨앤아이"/>
    <s v="전자입찰"/>
    <s v="WEB"/>
    <x v="11"/>
    <x v="11"/>
    <x v="2"/>
  </r>
  <r>
    <d v="2025-06-16T00:00:00"/>
    <s v="팬택씨앤아이"/>
    <s v="OKPlaza(홈앤서비스)"/>
    <s v="WEB"/>
    <x v="12"/>
    <x v="12"/>
    <x v="1"/>
  </r>
  <r>
    <d v="2025-06-17T00:00:00"/>
    <s v="팬택씨앤아이"/>
    <s v="OKPlaza(공급사)"/>
    <s v="WEB"/>
    <x v="12"/>
    <x v="12"/>
    <x v="1"/>
  </r>
  <r>
    <d v="2025-06-19T00:00:00"/>
    <s v="팬택씨앤아이"/>
    <s v="OKPlaza(일반구매사)"/>
    <s v="WEB"/>
    <x v="12"/>
    <x v="12"/>
    <x v="1"/>
  </r>
  <r>
    <d v="2025-06-19T00:00:00"/>
    <s v="팬택씨앤아이"/>
    <s v="OKPlaza(OKSafety)"/>
    <s v="WEB"/>
    <x v="12"/>
    <x v="12"/>
    <x v="1"/>
  </r>
  <r>
    <d v="2025-06-16T00:00:00"/>
    <s v="팬택씨앤아이"/>
    <s v="OKPlaza(운영사)"/>
    <s v="WEB"/>
    <x v="12"/>
    <x v="12"/>
    <x v="1"/>
  </r>
  <r>
    <d v="2025-06-17T00:00:00"/>
    <s v="팬택씨앤아이"/>
    <s v="전자입찰"/>
    <s v="WEB"/>
    <x v="12"/>
    <x v="12"/>
    <x v="1"/>
  </r>
  <r>
    <d v="2025-06-19T00:00:00"/>
    <s v="팬택씨앤아이"/>
    <s v="팬타온"/>
    <s v="WEB"/>
    <x v="12"/>
    <x v="1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56FBB5-B680-4574-B579-104168D212B2}" name="피벗 테이블2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B43" firstHeaderRow="1" firstDataRow="1" firstDataCol="1"/>
  <pivotFields count="7">
    <pivotField numFmtId="14" showAll="0"/>
    <pivotField showAll="0"/>
    <pivotField showAll="0"/>
    <pivotField dataField="1" showAll="0"/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14">
        <item x="0"/>
        <item x="8"/>
        <item x="5"/>
        <item x="4"/>
        <item x="3"/>
        <item x="11"/>
        <item x="6"/>
        <item x="9"/>
        <item x="1"/>
        <item x="10"/>
        <item x="2"/>
        <item x="12"/>
        <item x="7"/>
        <item t="default"/>
      </items>
    </pivotField>
    <pivotField axis="axisRow" showAll="0">
      <items count="4">
        <item x="0"/>
        <item x="2"/>
        <item x="1"/>
        <item t="default"/>
      </items>
    </pivotField>
  </pivotFields>
  <rowFields count="3">
    <field x="4"/>
    <field x="5"/>
    <field x="6"/>
  </rowFields>
  <rowItems count="40">
    <i>
      <x/>
    </i>
    <i r="1">
      <x/>
    </i>
    <i r="2">
      <x/>
    </i>
    <i>
      <x v="1"/>
    </i>
    <i r="1">
      <x v="8"/>
    </i>
    <i r="2">
      <x v="2"/>
    </i>
    <i>
      <x v="2"/>
    </i>
    <i r="1">
      <x v="10"/>
    </i>
    <i r="2">
      <x v="1"/>
    </i>
    <i>
      <x v="3"/>
    </i>
    <i r="1">
      <x v="4"/>
    </i>
    <i r="2">
      <x v="1"/>
    </i>
    <i>
      <x v="4"/>
    </i>
    <i r="1">
      <x v="3"/>
    </i>
    <i r="2">
      <x v="1"/>
    </i>
    <i>
      <x v="5"/>
    </i>
    <i r="1">
      <x v="2"/>
    </i>
    <i r="2">
      <x v="2"/>
    </i>
    <i>
      <x v="6"/>
    </i>
    <i r="1">
      <x v="6"/>
    </i>
    <i r="2">
      <x v="2"/>
    </i>
    <i>
      <x v="7"/>
    </i>
    <i r="1">
      <x v="12"/>
    </i>
    <i r="2">
      <x v="1"/>
    </i>
    <i>
      <x v="8"/>
    </i>
    <i r="1">
      <x v="1"/>
    </i>
    <i r="2">
      <x v="2"/>
    </i>
    <i>
      <x v="9"/>
    </i>
    <i r="1">
      <x v="7"/>
    </i>
    <i r="2">
      <x v="2"/>
    </i>
    <i>
      <x v="10"/>
    </i>
    <i r="1">
      <x v="9"/>
    </i>
    <i r="2">
      <x v="2"/>
    </i>
    <i>
      <x v="11"/>
    </i>
    <i r="1">
      <x v="5"/>
    </i>
    <i r="2">
      <x v="1"/>
    </i>
    <i>
      <x v="12"/>
    </i>
    <i r="1">
      <x v="11"/>
    </i>
    <i r="2">
      <x v="2"/>
    </i>
    <i t="grand">
      <x/>
    </i>
  </rowItems>
  <colItems count="1">
    <i/>
  </colItems>
  <dataFields count="1">
    <dataField name="개수 : 구분_x000a_(입력X)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dev.homs.biz/board/popQna?oper=detail&amp;no=7473&amp;_=1749774844191" TargetMode="External"/><Relationship Id="rId2" Type="http://schemas.openxmlformats.org/officeDocument/2006/relationships/hyperlink" Target="https://dev.homs.biz/board/popFree?boardNo=7437&amp;_=1749609100355" TargetMode="External"/><Relationship Id="rId1" Type="http://schemas.openxmlformats.org/officeDocument/2006/relationships/hyperlink" Target="https://dev.okplaza.kr/product/list?inputWord=test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9"/>
  <sheetViews>
    <sheetView workbookViewId="0">
      <selection activeCell="H13" sqref="H13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355</v>
      </c>
      <c r="C2" s="34" t="s">
        <v>411</v>
      </c>
      <c r="D2" s="34" t="s">
        <v>353</v>
      </c>
      <c r="E2" s="34" t="s">
        <v>361</v>
      </c>
      <c r="F2" s="34" t="s">
        <v>363</v>
      </c>
      <c r="G2" s="34" t="s">
        <v>356</v>
      </c>
      <c r="H2" s="34" t="s">
        <v>357</v>
      </c>
      <c r="I2" s="34" t="s">
        <v>364</v>
      </c>
      <c r="J2" s="34" t="s">
        <v>358</v>
      </c>
    </row>
    <row r="3" spans="2:10" ht="13.5" customHeight="1">
      <c r="B3" s="35">
        <v>1</v>
      </c>
      <c r="C3" s="35" t="s">
        <v>410</v>
      </c>
      <c r="D3" s="35" t="s">
        <v>486</v>
      </c>
      <c r="E3" s="35" t="s">
        <v>484</v>
      </c>
      <c r="F3" s="35" t="s">
        <v>165</v>
      </c>
      <c r="G3" s="35" t="s">
        <v>354</v>
      </c>
      <c r="H3" s="42" t="s">
        <v>497</v>
      </c>
      <c r="I3" s="13" t="s">
        <v>365</v>
      </c>
      <c r="J3" s="13"/>
    </row>
    <row r="4" spans="2:10" ht="13.5" customHeight="1">
      <c r="B4" s="35">
        <v>2</v>
      </c>
      <c r="C4" s="35" t="s">
        <v>410</v>
      </c>
      <c r="D4" s="35" t="s">
        <v>486</v>
      </c>
      <c r="E4" s="35" t="s">
        <v>487</v>
      </c>
      <c r="F4" s="35" t="s">
        <v>165</v>
      </c>
      <c r="G4" s="35" t="s">
        <v>354</v>
      </c>
      <c r="H4" s="42" t="s">
        <v>498</v>
      </c>
      <c r="I4" s="13" t="s">
        <v>365</v>
      </c>
      <c r="J4" s="13"/>
    </row>
    <row r="5" spans="2:10" ht="13.5" customHeight="1">
      <c r="B5" s="35">
        <v>3</v>
      </c>
      <c r="C5" s="35" t="s">
        <v>410</v>
      </c>
      <c r="D5" s="35" t="s">
        <v>486</v>
      </c>
      <c r="E5" s="35" t="s">
        <v>488</v>
      </c>
      <c r="F5" s="35" t="s">
        <v>165</v>
      </c>
      <c r="G5" s="35" t="s">
        <v>354</v>
      </c>
      <c r="H5" s="42" t="s">
        <v>498</v>
      </c>
      <c r="I5" s="13" t="s">
        <v>365</v>
      </c>
      <c r="J5" s="13"/>
    </row>
    <row r="6" spans="2:10" ht="13.5" customHeight="1">
      <c r="B6" s="35">
        <v>4</v>
      </c>
      <c r="C6" s="35" t="s">
        <v>410</v>
      </c>
      <c r="D6" s="35" t="s">
        <v>486</v>
      </c>
      <c r="E6" s="35" t="s">
        <v>494</v>
      </c>
      <c r="F6" s="35" t="s">
        <v>165</v>
      </c>
      <c r="G6" s="35" t="s">
        <v>354</v>
      </c>
      <c r="H6" s="42" t="s">
        <v>499</v>
      </c>
      <c r="I6" s="13" t="s">
        <v>365</v>
      </c>
      <c r="J6" s="13"/>
    </row>
    <row r="7" spans="2:10" ht="13.5" customHeight="1">
      <c r="B7" s="35">
        <v>5</v>
      </c>
      <c r="C7" s="35" t="s">
        <v>410</v>
      </c>
      <c r="D7" s="35" t="s">
        <v>486</v>
      </c>
      <c r="E7" s="35" t="s">
        <v>496</v>
      </c>
      <c r="F7" s="35" t="s">
        <v>165</v>
      </c>
      <c r="G7" s="35" t="s">
        <v>354</v>
      </c>
      <c r="H7" s="42" t="s">
        <v>500</v>
      </c>
      <c r="I7" s="13" t="s">
        <v>365</v>
      </c>
      <c r="J7" s="13"/>
    </row>
    <row r="8" spans="2:10" ht="13.5" customHeight="1">
      <c r="B8" s="35">
        <v>6</v>
      </c>
      <c r="C8" s="35" t="s">
        <v>410</v>
      </c>
      <c r="D8" s="35" t="s">
        <v>486</v>
      </c>
      <c r="E8" s="35" t="s">
        <v>490</v>
      </c>
      <c r="F8" s="35" t="s">
        <v>165</v>
      </c>
      <c r="G8" s="35" t="s">
        <v>354</v>
      </c>
      <c r="H8" s="42" t="s">
        <v>501</v>
      </c>
      <c r="I8" s="13" t="s">
        <v>365</v>
      </c>
      <c r="J8" s="13"/>
    </row>
    <row r="9" spans="2:10" ht="13.5" customHeight="1">
      <c r="B9" s="35">
        <v>7</v>
      </c>
      <c r="C9" s="35" t="s">
        <v>410</v>
      </c>
      <c r="D9" s="35" t="s">
        <v>486</v>
      </c>
      <c r="E9" s="35" t="s">
        <v>492</v>
      </c>
      <c r="F9" s="35" t="s">
        <v>165</v>
      </c>
      <c r="G9" s="35" t="s">
        <v>354</v>
      </c>
      <c r="H9" s="42" t="s">
        <v>502</v>
      </c>
      <c r="I9" s="13" t="s">
        <v>365</v>
      </c>
      <c r="J9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X105"/>
  <sheetViews>
    <sheetView tabSelected="1" topLeftCell="N1" workbookViewId="0">
      <selection activeCell="P15" sqref="P15"/>
    </sheetView>
  </sheetViews>
  <sheetFormatPr defaultRowHeight="13.5" customHeight="1"/>
  <cols>
    <col min="1" max="1" width="6.44140625" style="40" customWidth="1"/>
    <col min="2" max="2" width="10.6640625" style="12" bestFit="1" customWidth="1"/>
    <col min="3" max="3" width="12" style="18" customWidth="1"/>
    <col min="4" max="4" width="15.109375" style="12" customWidth="1"/>
    <col min="5" max="6" width="8.88671875" style="12" customWidth="1"/>
    <col min="7" max="7" width="18.77734375" style="100" customWidth="1"/>
    <col min="8" max="9" width="8.88671875" style="12" customWidth="1"/>
    <col min="10" max="10" width="8.88671875" style="106" customWidth="1"/>
    <col min="11" max="11" width="38" customWidth="1"/>
    <col min="12" max="12" width="39.21875" style="100" customWidth="1"/>
    <col min="13" max="13" width="10.88671875" customWidth="1"/>
    <col min="14" max="14" width="48.109375" style="100" customWidth="1"/>
    <col min="15" max="15" width="9.5546875" style="17" customWidth="1"/>
    <col min="16" max="16" width="91.88671875" style="100" customWidth="1"/>
    <col min="17" max="17" width="8.88671875" style="12" customWidth="1"/>
    <col min="18" max="18" width="10.6640625" style="12" customWidth="1"/>
    <col min="19" max="19" width="10.6640625" customWidth="1"/>
    <col min="20" max="20" width="8.88671875" customWidth="1"/>
    <col min="21" max="21" width="17.6640625" style="19" customWidth="1"/>
    <col min="23" max="23" width="8.77734375" customWidth="1"/>
    <col min="24" max="24" width="8.88671875" style="12" customWidth="1"/>
  </cols>
  <sheetData>
    <row r="1" spans="1:24"/>
    <row r="2" spans="1:24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6</v>
      </c>
      <c r="I2" s="20" t="s">
        <v>22</v>
      </c>
      <c r="J2" s="21" t="s">
        <v>23</v>
      </c>
      <c r="K2" s="20" t="s">
        <v>1</v>
      </c>
      <c r="L2" s="21" t="s">
        <v>2</v>
      </c>
      <c r="M2" s="20" t="s">
        <v>3</v>
      </c>
      <c r="N2" s="21" t="s">
        <v>5</v>
      </c>
      <c r="O2" s="20" t="s">
        <v>366</v>
      </c>
      <c r="P2" s="21" t="s">
        <v>17</v>
      </c>
      <c r="Q2" s="20" t="s">
        <v>6</v>
      </c>
      <c r="R2" s="21" t="s">
        <v>369</v>
      </c>
      <c r="S2" s="16" t="s">
        <v>163</v>
      </c>
      <c r="T2" s="16" t="s">
        <v>164</v>
      </c>
      <c r="U2" s="25" t="s">
        <v>166</v>
      </c>
      <c r="V2" s="22" t="s">
        <v>359</v>
      </c>
      <c r="W2" s="16" t="s">
        <v>152</v>
      </c>
      <c r="X2" s="20" t="s">
        <v>360</v>
      </c>
    </row>
    <row r="3" spans="1:24" ht="72" hidden="1">
      <c r="A3" s="40" t="s">
        <v>455</v>
      </c>
      <c r="B3" s="32">
        <v>45821</v>
      </c>
      <c r="C3" s="38" t="s">
        <v>409</v>
      </c>
      <c r="D3" s="23" t="s">
        <v>485</v>
      </c>
      <c r="E3" s="37" t="s">
        <v>503</v>
      </c>
      <c r="F3" s="24" t="s">
        <v>454</v>
      </c>
      <c r="G3" s="3" t="s">
        <v>41</v>
      </c>
      <c r="H3" s="11" t="s">
        <v>12</v>
      </c>
      <c r="I3" s="15" t="s">
        <v>4</v>
      </c>
      <c r="J3" s="8" t="s">
        <v>4</v>
      </c>
      <c r="K3" s="8" t="s">
        <v>456</v>
      </c>
      <c r="L3" s="8" t="s">
        <v>457</v>
      </c>
      <c r="M3" s="14" t="s">
        <v>458</v>
      </c>
      <c r="N3" s="115" t="s">
        <v>463</v>
      </c>
      <c r="O3" s="11" t="s">
        <v>367</v>
      </c>
      <c r="P3" s="36" t="s">
        <v>767</v>
      </c>
      <c r="Q3" s="11" t="s">
        <v>12</v>
      </c>
      <c r="R3" s="11"/>
      <c r="S3" s="32"/>
      <c r="T3" s="32"/>
      <c r="U3" s="41"/>
      <c r="V3" s="15" t="s">
        <v>430</v>
      </c>
      <c r="W3" s="15"/>
      <c r="X3" s="24"/>
    </row>
    <row r="4" spans="1:24" ht="24.75" customHeight="1">
      <c r="A4" s="40" t="s">
        <v>415</v>
      </c>
      <c r="B4" s="46">
        <v>45819</v>
      </c>
      <c r="C4" s="39" t="s">
        <v>409</v>
      </c>
      <c r="D4" s="72" t="s">
        <v>493</v>
      </c>
      <c r="E4" s="75" t="s">
        <v>503</v>
      </c>
      <c r="F4" s="24" t="s">
        <v>52</v>
      </c>
      <c r="G4" s="78" t="s">
        <v>53</v>
      </c>
      <c r="H4" s="72" t="s">
        <v>8</v>
      </c>
      <c r="I4" s="81" t="s">
        <v>504</v>
      </c>
      <c r="J4" s="81" t="s">
        <v>563</v>
      </c>
      <c r="K4" s="85" t="s">
        <v>530</v>
      </c>
      <c r="L4" s="85" t="s">
        <v>564</v>
      </c>
      <c r="M4" s="79" t="s">
        <v>505</v>
      </c>
      <c r="N4" s="116" t="s">
        <v>505</v>
      </c>
      <c r="O4" s="39"/>
      <c r="P4" s="39" t="s">
        <v>565</v>
      </c>
      <c r="Q4" s="72" t="s">
        <v>8</v>
      </c>
      <c r="R4" s="48" t="s">
        <v>566</v>
      </c>
      <c r="S4" s="48" t="s">
        <v>566</v>
      </c>
      <c r="T4" s="48" t="s">
        <v>566</v>
      </c>
      <c r="U4" s="49" t="s">
        <v>566</v>
      </c>
      <c r="V4" s="24" t="s">
        <v>567</v>
      </c>
      <c r="W4" s="48" t="s">
        <v>566</v>
      </c>
      <c r="X4" s="24"/>
    </row>
    <row r="5" spans="1:24" ht="24.75" customHeight="1">
      <c r="A5" s="40" t="s">
        <v>432</v>
      </c>
      <c r="B5" s="46">
        <v>45824</v>
      </c>
      <c r="C5" s="39" t="s">
        <v>409</v>
      </c>
      <c r="D5" s="72" t="s">
        <v>493</v>
      </c>
      <c r="E5" s="75" t="s">
        <v>503</v>
      </c>
      <c r="F5" s="24" t="s">
        <v>52</v>
      </c>
      <c r="G5" s="78" t="s">
        <v>53</v>
      </c>
      <c r="H5" s="72" t="s">
        <v>8</v>
      </c>
      <c r="I5" s="81" t="s">
        <v>509</v>
      </c>
      <c r="J5" s="81" t="s">
        <v>568</v>
      </c>
      <c r="K5" s="85" t="s">
        <v>515</v>
      </c>
      <c r="L5" s="85" t="s">
        <v>564</v>
      </c>
      <c r="M5" s="79" t="s">
        <v>505</v>
      </c>
      <c r="N5" s="116" t="s">
        <v>505</v>
      </c>
      <c r="O5" s="39"/>
      <c r="P5" s="39" t="s">
        <v>569</v>
      </c>
      <c r="Q5" s="72" t="s">
        <v>8</v>
      </c>
      <c r="R5" s="48" t="s">
        <v>566</v>
      </c>
      <c r="S5" s="48" t="s">
        <v>566</v>
      </c>
      <c r="T5" s="48" t="s">
        <v>566</v>
      </c>
      <c r="U5" s="49" t="s">
        <v>566</v>
      </c>
      <c r="V5" s="24" t="s">
        <v>567</v>
      </c>
      <c r="W5" s="48" t="s">
        <v>566</v>
      </c>
      <c r="X5" s="24"/>
    </row>
    <row r="6" spans="1:24" ht="24.75" customHeight="1">
      <c r="A6" s="40" t="s">
        <v>415</v>
      </c>
      <c r="B6" s="32">
        <v>45825</v>
      </c>
      <c r="C6" s="38" t="s">
        <v>409</v>
      </c>
      <c r="D6" s="35" t="s">
        <v>531</v>
      </c>
      <c r="E6" s="37" t="s">
        <v>503</v>
      </c>
      <c r="F6" s="24" t="s">
        <v>414</v>
      </c>
      <c r="G6" s="3" t="s">
        <v>53</v>
      </c>
      <c r="H6" s="11" t="s">
        <v>8</v>
      </c>
      <c r="I6" s="15" t="s">
        <v>420</v>
      </c>
      <c r="J6" s="8" t="s">
        <v>424</v>
      </c>
      <c r="K6" s="8" t="s">
        <v>505</v>
      </c>
      <c r="L6" s="8" t="s">
        <v>506</v>
      </c>
      <c r="M6" s="14" t="s">
        <v>505</v>
      </c>
      <c r="N6" s="115" t="s">
        <v>505</v>
      </c>
      <c r="O6" s="11" t="s">
        <v>507</v>
      </c>
      <c r="P6" s="36" t="s">
        <v>508</v>
      </c>
      <c r="Q6" s="11" t="s">
        <v>8</v>
      </c>
      <c r="R6" s="11"/>
      <c r="S6" s="32"/>
      <c r="T6" s="32"/>
      <c r="U6" s="41"/>
      <c r="V6" s="15" t="s">
        <v>430</v>
      </c>
      <c r="W6" s="15"/>
      <c r="X6" s="24"/>
    </row>
    <row r="7" spans="1:24" ht="24.75" customHeight="1">
      <c r="A7" s="40" t="s">
        <v>542</v>
      </c>
      <c r="B7" s="32">
        <v>45826</v>
      </c>
      <c r="C7" s="38" t="s">
        <v>409</v>
      </c>
      <c r="D7" s="23" t="s">
        <v>543</v>
      </c>
      <c r="E7" s="37" t="s">
        <v>503</v>
      </c>
      <c r="F7" s="24" t="s">
        <v>414</v>
      </c>
      <c r="G7" s="3" t="s">
        <v>53</v>
      </c>
      <c r="H7" s="11" t="s">
        <v>8</v>
      </c>
      <c r="I7" s="15" t="s">
        <v>504</v>
      </c>
      <c r="J7" s="8" t="s">
        <v>424</v>
      </c>
      <c r="K7" s="8" t="s">
        <v>533</v>
      </c>
      <c r="L7" s="8" t="s">
        <v>506</v>
      </c>
      <c r="M7" s="14" t="s">
        <v>505</v>
      </c>
      <c r="N7" s="115" t="s">
        <v>505</v>
      </c>
      <c r="O7" s="11" t="s">
        <v>507</v>
      </c>
      <c r="P7" s="36" t="s">
        <v>508</v>
      </c>
      <c r="Q7" s="11" t="s">
        <v>8</v>
      </c>
      <c r="R7" s="11"/>
      <c r="S7" s="32"/>
      <c r="T7" s="32"/>
      <c r="U7" s="41"/>
      <c r="V7" s="15" t="s">
        <v>430</v>
      </c>
      <c r="W7" s="15"/>
      <c r="X7" s="24"/>
    </row>
    <row r="8" spans="1:24" ht="24.75" customHeight="1">
      <c r="B8" s="32">
        <v>45826</v>
      </c>
      <c r="C8" s="38" t="s">
        <v>409</v>
      </c>
      <c r="D8" s="23" t="s">
        <v>543</v>
      </c>
      <c r="E8" s="37" t="s">
        <v>503</v>
      </c>
      <c r="F8" s="24" t="s">
        <v>414</v>
      </c>
      <c r="G8" s="3" t="s">
        <v>53</v>
      </c>
      <c r="H8" s="11" t="s">
        <v>8</v>
      </c>
      <c r="I8" s="15" t="s">
        <v>513</v>
      </c>
      <c r="J8" s="8" t="s">
        <v>514</v>
      </c>
      <c r="K8" s="8" t="s">
        <v>533</v>
      </c>
      <c r="L8" s="8" t="s">
        <v>541</v>
      </c>
      <c r="M8" s="14" t="s">
        <v>4</v>
      </c>
      <c r="N8" s="115" t="s">
        <v>4</v>
      </c>
      <c r="O8" s="11" t="s">
        <v>367</v>
      </c>
      <c r="P8" s="36" t="s">
        <v>544</v>
      </c>
      <c r="Q8" s="11" t="s">
        <v>8</v>
      </c>
      <c r="R8" s="11"/>
      <c r="S8" s="32"/>
      <c r="T8" s="32"/>
      <c r="U8" s="41"/>
      <c r="V8" s="15" t="s">
        <v>430</v>
      </c>
      <c r="W8" s="15"/>
      <c r="X8" s="24"/>
    </row>
    <row r="9" spans="1:24" ht="24.75" customHeight="1">
      <c r="A9" s="40" t="s">
        <v>415</v>
      </c>
      <c r="B9" s="32">
        <v>45825</v>
      </c>
      <c r="C9" s="38" t="s">
        <v>409</v>
      </c>
      <c r="D9" s="35" t="s">
        <v>531</v>
      </c>
      <c r="E9" s="37" t="s">
        <v>503</v>
      </c>
      <c r="F9" s="24" t="s">
        <v>414</v>
      </c>
      <c r="G9" s="3" t="s">
        <v>53</v>
      </c>
      <c r="H9" s="11" t="s">
        <v>8</v>
      </c>
      <c r="I9" s="15" t="s">
        <v>422</v>
      </c>
      <c r="J9" s="8" t="s">
        <v>510</v>
      </c>
      <c r="K9" s="8" t="s">
        <v>505</v>
      </c>
      <c r="L9" s="8" t="s">
        <v>511</v>
      </c>
      <c r="M9" s="14" t="s">
        <v>505</v>
      </c>
      <c r="N9" s="115" t="s">
        <v>505</v>
      </c>
      <c r="O9" s="11" t="s">
        <v>507</v>
      </c>
      <c r="P9" s="36" t="s">
        <v>512</v>
      </c>
      <c r="Q9" s="11" t="s">
        <v>8</v>
      </c>
      <c r="R9" s="11"/>
      <c r="S9" s="32"/>
      <c r="T9" s="32"/>
      <c r="U9" s="41"/>
      <c r="V9" s="15" t="s">
        <v>430</v>
      </c>
      <c r="W9" s="15"/>
      <c r="X9" s="24"/>
    </row>
    <row r="10" spans="1:24" ht="24.75" customHeight="1">
      <c r="B10" s="32">
        <v>45826</v>
      </c>
      <c r="C10" s="38" t="s">
        <v>409</v>
      </c>
      <c r="D10" s="23" t="s">
        <v>543</v>
      </c>
      <c r="E10" s="37" t="s">
        <v>503</v>
      </c>
      <c r="F10" s="24" t="s">
        <v>414</v>
      </c>
      <c r="G10" s="3" t="s">
        <v>53</v>
      </c>
      <c r="H10" s="11" t="s">
        <v>8</v>
      </c>
      <c r="I10" s="15" t="s">
        <v>509</v>
      </c>
      <c r="J10" s="8" t="s">
        <v>510</v>
      </c>
      <c r="K10" s="8" t="s">
        <v>533</v>
      </c>
      <c r="L10" s="8" t="s">
        <v>511</v>
      </c>
      <c r="M10" s="14" t="s">
        <v>505</v>
      </c>
      <c r="N10" s="115" t="s">
        <v>505</v>
      </c>
      <c r="O10" s="11" t="s">
        <v>507</v>
      </c>
      <c r="P10" s="36" t="s">
        <v>512</v>
      </c>
      <c r="Q10" s="11" t="s">
        <v>8</v>
      </c>
      <c r="R10" s="11"/>
      <c r="S10" s="32"/>
      <c r="T10" s="32"/>
      <c r="U10" s="41"/>
      <c r="V10" s="15" t="s">
        <v>430</v>
      </c>
      <c r="W10" s="15"/>
      <c r="X10" s="24"/>
    </row>
    <row r="11" spans="1:24" ht="24.75" customHeight="1">
      <c r="A11" s="40" t="s">
        <v>415</v>
      </c>
      <c r="B11" s="32">
        <v>45826</v>
      </c>
      <c r="C11" s="38" t="s">
        <v>409</v>
      </c>
      <c r="D11" s="35" t="s">
        <v>531</v>
      </c>
      <c r="E11" s="37" t="s">
        <v>503</v>
      </c>
      <c r="F11" s="24" t="s">
        <v>414</v>
      </c>
      <c r="G11" s="3" t="s">
        <v>53</v>
      </c>
      <c r="H11" s="11" t="s">
        <v>8</v>
      </c>
      <c r="I11" s="15" t="s">
        <v>423</v>
      </c>
      <c r="J11" s="8" t="s">
        <v>532</v>
      </c>
      <c r="K11" s="8" t="s">
        <v>533</v>
      </c>
      <c r="L11" s="8" t="s">
        <v>534</v>
      </c>
      <c r="M11" s="14" t="s">
        <v>4</v>
      </c>
      <c r="N11" s="115" t="s">
        <v>4</v>
      </c>
      <c r="O11" s="11" t="s">
        <v>367</v>
      </c>
      <c r="P11" s="36" t="s">
        <v>535</v>
      </c>
      <c r="Q11" s="11" t="s">
        <v>8</v>
      </c>
      <c r="R11" s="11"/>
      <c r="S11" s="32"/>
      <c r="T11" s="32"/>
      <c r="U11" s="41"/>
      <c r="V11" s="15" t="s">
        <v>430</v>
      </c>
      <c r="W11" s="15"/>
      <c r="X11" s="24"/>
    </row>
    <row r="12" spans="1:24" ht="24.75" customHeight="1">
      <c r="A12" s="40" t="s">
        <v>615</v>
      </c>
      <c r="B12" s="32">
        <v>45826</v>
      </c>
      <c r="C12" s="38" t="s">
        <v>409</v>
      </c>
      <c r="D12" s="23" t="s">
        <v>495</v>
      </c>
      <c r="E12" s="37" t="s">
        <v>503</v>
      </c>
      <c r="F12" s="24" t="s">
        <v>414</v>
      </c>
      <c r="G12" s="3" t="s">
        <v>53</v>
      </c>
      <c r="H12" s="11" t="s">
        <v>8</v>
      </c>
      <c r="I12" s="15" t="s">
        <v>420</v>
      </c>
      <c r="J12" s="8" t="s">
        <v>616</v>
      </c>
      <c r="K12" s="8" t="s">
        <v>416</v>
      </c>
      <c r="L12" s="8" t="s">
        <v>617</v>
      </c>
      <c r="M12" s="14" t="s">
        <v>4</v>
      </c>
      <c r="N12" s="115" t="s">
        <v>4</v>
      </c>
      <c r="O12" s="11" t="s">
        <v>367</v>
      </c>
      <c r="P12" s="62" t="s">
        <v>618</v>
      </c>
      <c r="Q12" s="11" t="s">
        <v>8</v>
      </c>
      <c r="R12" s="11"/>
      <c r="S12" s="32"/>
      <c r="T12" s="32"/>
      <c r="U12" s="41"/>
      <c r="V12" s="15" t="s">
        <v>619</v>
      </c>
      <c r="W12" s="15"/>
      <c r="X12" s="24"/>
    </row>
    <row r="13" spans="1:24" ht="24.75" customHeight="1">
      <c r="A13" s="40" t="s">
        <v>615</v>
      </c>
      <c r="B13" s="32">
        <v>45826</v>
      </c>
      <c r="C13" s="38" t="s">
        <v>409</v>
      </c>
      <c r="D13" s="23" t="s">
        <v>495</v>
      </c>
      <c r="E13" s="37" t="s">
        <v>503</v>
      </c>
      <c r="F13" s="24" t="s">
        <v>414</v>
      </c>
      <c r="G13" s="3" t="s">
        <v>53</v>
      </c>
      <c r="H13" s="11" t="s">
        <v>8</v>
      </c>
      <c r="I13" s="15" t="s">
        <v>422</v>
      </c>
      <c r="J13" s="8" t="s">
        <v>620</v>
      </c>
      <c r="K13" s="8" t="s">
        <v>533</v>
      </c>
      <c r="L13" s="8" t="s">
        <v>617</v>
      </c>
      <c r="M13" s="14" t="s">
        <v>4</v>
      </c>
      <c r="N13" s="115" t="s">
        <v>4</v>
      </c>
      <c r="O13" s="11" t="s">
        <v>367</v>
      </c>
      <c r="P13" s="62" t="s">
        <v>621</v>
      </c>
      <c r="Q13" s="11" t="s">
        <v>8</v>
      </c>
      <c r="R13" s="11"/>
      <c r="S13" s="32"/>
      <c r="T13" s="32"/>
      <c r="U13" s="41"/>
      <c r="V13" s="15" t="s">
        <v>619</v>
      </c>
      <c r="W13" s="15"/>
      <c r="X13" s="24"/>
    </row>
    <row r="14" spans="1:24" ht="24.75" customHeight="1">
      <c r="A14" s="40" t="s">
        <v>415</v>
      </c>
      <c r="B14" s="32">
        <v>45820</v>
      </c>
      <c r="C14" s="38" t="s">
        <v>409</v>
      </c>
      <c r="D14" s="23" t="s">
        <v>485</v>
      </c>
      <c r="E14" s="37" t="s">
        <v>503</v>
      </c>
      <c r="F14" s="24" t="s">
        <v>414</v>
      </c>
      <c r="G14" s="3" t="s">
        <v>53</v>
      </c>
      <c r="H14" s="11" t="s">
        <v>8</v>
      </c>
      <c r="I14" s="15" t="s">
        <v>422</v>
      </c>
      <c r="J14" s="8" t="s">
        <v>424</v>
      </c>
      <c r="K14" s="8" t="s">
        <v>4</v>
      </c>
      <c r="L14" s="8" t="s">
        <v>427</v>
      </c>
      <c r="M14" s="14" t="s">
        <v>4</v>
      </c>
      <c r="N14" s="115" t="s">
        <v>4</v>
      </c>
      <c r="O14" s="11" t="s">
        <v>367</v>
      </c>
      <c r="P14" s="36" t="s">
        <v>429</v>
      </c>
      <c r="Q14" s="11" t="s">
        <v>8</v>
      </c>
      <c r="R14" s="11"/>
      <c r="S14" s="32"/>
      <c r="T14" s="32"/>
      <c r="U14" s="41"/>
      <c r="V14" s="15" t="s">
        <v>430</v>
      </c>
      <c r="W14" s="15"/>
      <c r="X14" s="24"/>
    </row>
    <row r="15" spans="1:24" ht="24.75" customHeight="1">
      <c r="A15" s="40" t="s">
        <v>415</v>
      </c>
      <c r="B15" s="32">
        <v>45820</v>
      </c>
      <c r="C15" s="38" t="s">
        <v>409</v>
      </c>
      <c r="D15" s="23" t="s">
        <v>485</v>
      </c>
      <c r="E15" s="37" t="s">
        <v>503</v>
      </c>
      <c r="F15" s="24" t="s">
        <v>414</v>
      </c>
      <c r="G15" s="3" t="s">
        <v>53</v>
      </c>
      <c r="H15" s="11" t="s">
        <v>8</v>
      </c>
      <c r="I15" s="15" t="s">
        <v>423</v>
      </c>
      <c r="J15" s="8" t="s">
        <v>425</v>
      </c>
      <c r="K15" s="8" t="s">
        <v>4</v>
      </c>
      <c r="L15" s="8" t="s">
        <v>426</v>
      </c>
      <c r="M15" s="14" t="s">
        <v>4</v>
      </c>
      <c r="N15" s="115" t="s">
        <v>4</v>
      </c>
      <c r="O15" s="11" t="s">
        <v>367</v>
      </c>
      <c r="P15" s="36" t="s">
        <v>428</v>
      </c>
      <c r="Q15" s="11" t="s">
        <v>8</v>
      </c>
      <c r="R15" s="11"/>
      <c r="S15" s="32"/>
      <c r="T15" s="32"/>
      <c r="U15" s="41"/>
      <c r="V15" s="15" t="s">
        <v>430</v>
      </c>
      <c r="W15" s="15"/>
      <c r="X15" s="24"/>
    </row>
    <row r="16" spans="1:24" ht="24.75" customHeight="1">
      <c r="A16" s="40" t="s">
        <v>415</v>
      </c>
      <c r="B16" s="32">
        <v>45820</v>
      </c>
      <c r="C16" s="38" t="s">
        <v>409</v>
      </c>
      <c r="D16" s="23" t="s">
        <v>485</v>
      </c>
      <c r="E16" s="37" t="s">
        <v>503</v>
      </c>
      <c r="F16" s="24" t="s">
        <v>414</v>
      </c>
      <c r="G16" s="3" t="s">
        <v>53</v>
      </c>
      <c r="H16" s="11" t="s">
        <v>8</v>
      </c>
      <c r="I16" s="15" t="s">
        <v>420</v>
      </c>
      <c r="J16" s="8" t="s">
        <v>421</v>
      </c>
      <c r="K16" s="8" t="s">
        <v>418</v>
      </c>
      <c r="L16" s="8" t="s">
        <v>417</v>
      </c>
      <c r="M16" s="14" t="s">
        <v>4</v>
      </c>
      <c r="N16" s="115" t="s">
        <v>4</v>
      </c>
      <c r="O16" s="11" t="s">
        <v>367</v>
      </c>
      <c r="P16" s="36" t="s">
        <v>419</v>
      </c>
      <c r="Q16" s="11" t="s">
        <v>8</v>
      </c>
      <c r="R16" s="11"/>
      <c r="S16" s="32"/>
      <c r="T16" s="32"/>
      <c r="U16" s="41"/>
      <c r="V16" s="15" t="s">
        <v>430</v>
      </c>
      <c r="W16" s="15"/>
      <c r="X16" s="24"/>
    </row>
    <row r="17" spans="1:24" ht="24.75" customHeight="1">
      <c r="B17" s="32">
        <v>45825</v>
      </c>
      <c r="C17" s="38" t="s">
        <v>410</v>
      </c>
      <c r="D17" s="23" t="s">
        <v>491</v>
      </c>
      <c r="E17" s="37" t="s">
        <v>503</v>
      </c>
      <c r="F17" s="24" t="s">
        <v>414</v>
      </c>
      <c r="G17" s="3" t="s">
        <v>53</v>
      </c>
      <c r="H17" s="11" t="s">
        <v>8</v>
      </c>
      <c r="I17" s="15" t="s">
        <v>420</v>
      </c>
      <c r="J17" s="8" t="s">
        <v>713</v>
      </c>
      <c r="K17" s="8" t="s">
        <v>416</v>
      </c>
      <c r="L17" s="8" t="s">
        <v>714</v>
      </c>
      <c r="M17" s="14" t="s">
        <v>4</v>
      </c>
      <c r="N17" s="115" t="s">
        <v>4</v>
      </c>
      <c r="O17" s="11" t="s">
        <v>367</v>
      </c>
      <c r="P17" s="36" t="s">
        <v>715</v>
      </c>
      <c r="Q17" s="11" t="s">
        <v>8</v>
      </c>
      <c r="R17" s="11"/>
      <c r="S17" s="32"/>
      <c r="T17" s="32"/>
      <c r="U17" s="41"/>
      <c r="V17" s="15" t="s">
        <v>351</v>
      </c>
      <c r="W17" s="15"/>
      <c r="X17" s="24"/>
    </row>
    <row r="18" spans="1:24" ht="24.75" customHeight="1">
      <c r="B18" s="32">
        <v>45827</v>
      </c>
      <c r="C18" s="38" t="s">
        <v>410</v>
      </c>
      <c r="D18" s="23" t="s">
        <v>491</v>
      </c>
      <c r="E18" s="37" t="s">
        <v>503</v>
      </c>
      <c r="F18" s="24" t="s">
        <v>414</v>
      </c>
      <c r="G18" s="3" t="s">
        <v>53</v>
      </c>
      <c r="H18" s="11" t="s">
        <v>8</v>
      </c>
      <c r="I18" s="15" t="s">
        <v>423</v>
      </c>
      <c r="J18" s="8" t="s">
        <v>719</v>
      </c>
      <c r="K18" s="8" t="s">
        <v>723</v>
      </c>
      <c r="L18" s="8" t="s">
        <v>724</v>
      </c>
      <c r="M18" s="14" t="s">
        <v>4</v>
      </c>
      <c r="N18" s="115" t="s">
        <v>4</v>
      </c>
      <c r="O18" s="11" t="s">
        <v>367</v>
      </c>
      <c r="P18" s="36" t="s">
        <v>722</v>
      </c>
      <c r="Q18" s="11" t="s">
        <v>8</v>
      </c>
      <c r="R18" s="11"/>
      <c r="S18" s="32"/>
      <c r="T18" s="32"/>
      <c r="U18" s="41"/>
      <c r="V18" s="15" t="s">
        <v>351</v>
      </c>
      <c r="W18" s="15"/>
      <c r="X18" s="24"/>
    </row>
    <row r="19" spans="1:24" ht="24.75" customHeight="1">
      <c r="B19" s="32">
        <v>45825</v>
      </c>
      <c r="C19" s="38" t="s">
        <v>410</v>
      </c>
      <c r="D19" s="23" t="s">
        <v>491</v>
      </c>
      <c r="E19" s="37" t="s">
        <v>503</v>
      </c>
      <c r="F19" s="24" t="s">
        <v>414</v>
      </c>
      <c r="G19" s="3" t="s">
        <v>53</v>
      </c>
      <c r="H19" s="11" t="s">
        <v>8</v>
      </c>
      <c r="I19" s="15" t="s">
        <v>423</v>
      </c>
      <c r="J19" s="8" t="s">
        <v>719</v>
      </c>
      <c r="K19" s="8" t="s">
        <v>720</v>
      </c>
      <c r="L19" s="8" t="s">
        <v>721</v>
      </c>
      <c r="M19" s="14" t="s">
        <v>4</v>
      </c>
      <c r="N19" s="115" t="s">
        <v>4</v>
      </c>
      <c r="O19" s="11" t="s">
        <v>367</v>
      </c>
      <c r="P19" s="36" t="s">
        <v>722</v>
      </c>
      <c r="Q19" s="11" t="s">
        <v>8</v>
      </c>
      <c r="R19" s="11"/>
      <c r="S19" s="32"/>
      <c r="T19" s="32"/>
      <c r="U19" s="41"/>
      <c r="V19" s="15" t="s">
        <v>351</v>
      </c>
      <c r="W19" s="15"/>
      <c r="X19" s="24"/>
    </row>
    <row r="20" spans="1:24" ht="24.75" customHeight="1">
      <c r="B20" s="32">
        <v>45825</v>
      </c>
      <c r="C20" s="38" t="s">
        <v>410</v>
      </c>
      <c r="D20" s="23" t="s">
        <v>491</v>
      </c>
      <c r="E20" s="37" t="s">
        <v>503</v>
      </c>
      <c r="F20" s="24" t="s">
        <v>414</v>
      </c>
      <c r="G20" s="3" t="s">
        <v>53</v>
      </c>
      <c r="H20" s="11" t="s">
        <v>8</v>
      </c>
      <c r="I20" s="15" t="s">
        <v>422</v>
      </c>
      <c r="J20" s="8" t="s">
        <v>716</v>
      </c>
      <c r="K20" s="8" t="s">
        <v>416</v>
      </c>
      <c r="L20" s="8" t="s">
        <v>717</v>
      </c>
      <c r="M20" s="14" t="s">
        <v>4</v>
      </c>
      <c r="N20" s="115" t="s">
        <v>4</v>
      </c>
      <c r="O20" s="11" t="s">
        <v>367</v>
      </c>
      <c r="P20" s="36" t="s">
        <v>718</v>
      </c>
      <c r="Q20" s="11" t="s">
        <v>8</v>
      </c>
      <c r="R20" s="11"/>
      <c r="S20" s="32"/>
      <c r="T20" s="32"/>
      <c r="U20" s="41"/>
      <c r="V20" s="15" t="s">
        <v>351</v>
      </c>
      <c r="W20" s="15"/>
      <c r="X20" s="24"/>
    </row>
    <row r="21" spans="1:24" ht="24.75" customHeight="1">
      <c r="B21" s="65">
        <v>45819</v>
      </c>
      <c r="C21" s="6" t="s">
        <v>409</v>
      </c>
      <c r="D21" s="66" t="s">
        <v>489</v>
      </c>
      <c r="E21" s="37" t="s">
        <v>503</v>
      </c>
      <c r="F21" s="24" t="s">
        <v>52</v>
      </c>
      <c r="G21" s="3" t="s">
        <v>53</v>
      </c>
      <c r="H21" s="11" t="s">
        <v>8</v>
      </c>
      <c r="I21" s="8" t="s">
        <v>676</v>
      </c>
      <c r="J21" s="8" t="s">
        <v>677</v>
      </c>
      <c r="K21" s="39" t="s">
        <v>678</v>
      </c>
      <c r="L21" s="39" t="s">
        <v>679</v>
      </c>
      <c r="M21" s="39" t="s">
        <v>505</v>
      </c>
      <c r="N21" s="67" t="s">
        <v>505</v>
      </c>
      <c r="O21" s="66" t="s">
        <v>507</v>
      </c>
      <c r="P21" s="39" t="s">
        <v>680</v>
      </c>
      <c r="Q21" s="11" t="s">
        <v>8</v>
      </c>
      <c r="R21" s="11"/>
      <c r="S21" s="32"/>
      <c r="T21" s="32"/>
      <c r="U21" s="41"/>
      <c r="V21" s="66" t="s">
        <v>681</v>
      </c>
      <c r="W21" s="15"/>
      <c r="X21" s="24"/>
    </row>
    <row r="22" spans="1:24" ht="24.75" customHeight="1">
      <c r="B22" s="65">
        <v>45819</v>
      </c>
      <c r="C22" s="6" t="s">
        <v>409</v>
      </c>
      <c r="D22" s="66" t="s">
        <v>489</v>
      </c>
      <c r="E22" s="37" t="s">
        <v>503</v>
      </c>
      <c r="F22" s="24" t="s">
        <v>52</v>
      </c>
      <c r="G22" s="3" t="s">
        <v>53</v>
      </c>
      <c r="H22" s="11" t="s">
        <v>8</v>
      </c>
      <c r="I22" s="8" t="s">
        <v>682</v>
      </c>
      <c r="J22" s="8" t="s">
        <v>683</v>
      </c>
      <c r="K22" s="39" t="s">
        <v>678</v>
      </c>
      <c r="L22" s="39" t="s">
        <v>679</v>
      </c>
      <c r="M22" s="39" t="s">
        <v>505</v>
      </c>
      <c r="N22" s="67" t="s">
        <v>505</v>
      </c>
      <c r="O22" s="66" t="s">
        <v>507</v>
      </c>
      <c r="P22" s="39" t="s">
        <v>684</v>
      </c>
      <c r="Q22" s="11" t="s">
        <v>8</v>
      </c>
      <c r="R22" s="11"/>
      <c r="S22" s="32"/>
      <c r="T22" s="32"/>
      <c r="U22" s="41"/>
      <c r="V22" s="66" t="s">
        <v>681</v>
      </c>
      <c r="W22" s="15"/>
      <c r="X22" s="24"/>
    </row>
    <row r="23" spans="1:24" ht="36" hidden="1">
      <c r="B23" s="65">
        <v>45820</v>
      </c>
      <c r="C23" s="6" t="s">
        <v>409</v>
      </c>
      <c r="D23" s="66" t="s">
        <v>489</v>
      </c>
      <c r="E23" s="37" t="s">
        <v>503</v>
      </c>
      <c r="F23" s="24" t="s">
        <v>20</v>
      </c>
      <c r="G23" s="110" t="s">
        <v>21</v>
      </c>
      <c r="H23" s="11" t="s">
        <v>10</v>
      </c>
      <c r="I23" s="8" t="s">
        <v>504</v>
      </c>
      <c r="J23" s="64" t="s">
        <v>570</v>
      </c>
      <c r="K23" s="67" t="s">
        <v>689</v>
      </c>
      <c r="L23" s="67" t="s">
        <v>690</v>
      </c>
      <c r="M23" s="39" t="s">
        <v>768</v>
      </c>
      <c r="N23" s="67" t="s">
        <v>770</v>
      </c>
      <c r="O23" s="66" t="s">
        <v>507</v>
      </c>
      <c r="P23" s="67" t="s">
        <v>433</v>
      </c>
      <c r="Q23" s="11" t="s">
        <v>10</v>
      </c>
      <c r="R23" s="11"/>
      <c r="S23" s="32"/>
      <c r="T23" s="32"/>
      <c r="U23" s="41"/>
      <c r="V23" s="66" t="s">
        <v>681</v>
      </c>
      <c r="W23" s="15"/>
      <c r="X23" s="24"/>
    </row>
    <row r="24" spans="1:24" ht="36" hidden="1">
      <c r="A24" s="40" t="s">
        <v>432</v>
      </c>
      <c r="B24" s="46">
        <v>45819</v>
      </c>
      <c r="C24" s="39" t="s">
        <v>409</v>
      </c>
      <c r="D24" s="72" t="s">
        <v>493</v>
      </c>
      <c r="E24" s="75" t="s">
        <v>503</v>
      </c>
      <c r="F24" s="24" t="s">
        <v>20</v>
      </c>
      <c r="G24" s="111" t="s">
        <v>21</v>
      </c>
      <c r="H24" s="72" t="s">
        <v>10</v>
      </c>
      <c r="I24" s="79" t="s">
        <v>505</v>
      </c>
      <c r="J24" s="107" t="s">
        <v>570</v>
      </c>
      <c r="K24" s="86" t="s">
        <v>571</v>
      </c>
      <c r="L24" s="86" t="s">
        <v>572</v>
      </c>
      <c r="M24" s="81" t="s">
        <v>769</v>
      </c>
      <c r="N24" s="107" t="s">
        <v>574</v>
      </c>
      <c r="O24" s="67"/>
      <c r="P24" s="67" t="s">
        <v>433</v>
      </c>
      <c r="Q24" s="72" t="s">
        <v>10</v>
      </c>
      <c r="R24" s="48" t="s">
        <v>566</v>
      </c>
      <c r="S24" s="48" t="s">
        <v>566</v>
      </c>
      <c r="T24" s="48" t="s">
        <v>566</v>
      </c>
      <c r="U24" s="49" t="s">
        <v>566</v>
      </c>
      <c r="V24" s="24" t="s">
        <v>567</v>
      </c>
      <c r="W24" s="48" t="s">
        <v>566</v>
      </c>
      <c r="X24" s="24"/>
    </row>
    <row r="25" spans="1:24" ht="36" hidden="1">
      <c r="A25" s="40" t="s">
        <v>432</v>
      </c>
      <c r="B25" s="46">
        <v>45819</v>
      </c>
      <c r="C25" s="39" t="s">
        <v>409</v>
      </c>
      <c r="D25" s="72" t="s">
        <v>493</v>
      </c>
      <c r="E25" s="75" t="s">
        <v>503</v>
      </c>
      <c r="F25" s="24" t="s">
        <v>20</v>
      </c>
      <c r="G25" s="111" t="s">
        <v>21</v>
      </c>
      <c r="H25" s="72" t="s">
        <v>10</v>
      </c>
      <c r="I25" s="79" t="s">
        <v>505</v>
      </c>
      <c r="J25" s="107" t="s">
        <v>570</v>
      </c>
      <c r="K25" s="85" t="s">
        <v>575</v>
      </c>
      <c r="L25" s="86" t="s">
        <v>576</v>
      </c>
      <c r="M25" s="81" t="s">
        <v>573</v>
      </c>
      <c r="N25" s="107" t="s">
        <v>574</v>
      </c>
      <c r="O25" s="67"/>
      <c r="P25" s="67" t="s">
        <v>433</v>
      </c>
      <c r="Q25" s="72" t="s">
        <v>10</v>
      </c>
      <c r="R25" s="48" t="s">
        <v>566</v>
      </c>
      <c r="S25" s="48" t="s">
        <v>566</v>
      </c>
      <c r="T25" s="48" t="s">
        <v>566</v>
      </c>
      <c r="U25" s="49" t="s">
        <v>566</v>
      </c>
      <c r="V25" s="24" t="s">
        <v>567</v>
      </c>
      <c r="W25" s="48" t="s">
        <v>566</v>
      </c>
      <c r="X25" s="24"/>
    </row>
    <row r="26" spans="1:24" ht="36" hidden="1">
      <c r="A26" s="40" t="s">
        <v>447</v>
      </c>
      <c r="B26" s="46">
        <v>45821</v>
      </c>
      <c r="C26" s="39" t="s">
        <v>409</v>
      </c>
      <c r="D26" s="72" t="s">
        <v>493</v>
      </c>
      <c r="E26" s="75" t="s">
        <v>503</v>
      </c>
      <c r="F26" s="24" t="s">
        <v>20</v>
      </c>
      <c r="G26" s="111" t="s">
        <v>21</v>
      </c>
      <c r="H26" s="72" t="s">
        <v>10</v>
      </c>
      <c r="I26" s="79" t="s">
        <v>505</v>
      </c>
      <c r="J26" s="107" t="s">
        <v>570</v>
      </c>
      <c r="K26" s="85" t="s">
        <v>577</v>
      </c>
      <c r="L26" s="86" t="s">
        <v>578</v>
      </c>
      <c r="M26" s="81" t="s">
        <v>579</v>
      </c>
      <c r="N26" s="107" t="s">
        <v>574</v>
      </c>
      <c r="O26" s="67"/>
      <c r="P26" s="67" t="s">
        <v>433</v>
      </c>
      <c r="Q26" s="72" t="s">
        <v>10</v>
      </c>
      <c r="R26" s="48" t="s">
        <v>566</v>
      </c>
      <c r="S26" s="48" t="s">
        <v>566</v>
      </c>
      <c r="T26" s="48" t="s">
        <v>566</v>
      </c>
      <c r="U26" s="49" t="s">
        <v>566</v>
      </c>
      <c r="V26" s="24" t="s">
        <v>567</v>
      </c>
      <c r="W26" s="48" t="s">
        <v>566</v>
      </c>
      <c r="X26" s="24"/>
    </row>
    <row r="27" spans="1:24" ht="36" hidden="1">
      <c r="A27" s="40" t="s">
        <v>545</v>
      </c>
      <c r="B27" s="32">
        <v>45826</v>
      </c>
      <c r="C27" s="38" t="s">
        <v>409</v>
      </c>
      <c r="D27" s="23" t="s">
        <v>543</v>
      </c>
      <c r="E27" s="37" t="s">
        <v>503</v>
      </c>
      <c r="F27" s="24" t="s">
        <v>431</v>
      </c>
      <c r="G27" s="110" t="s">
        <v>21</v>
      </c>
      <c r="H27" s="11" t="s">
        <v>10</v>
      </c>
      <c r="I27" s="15" t="s">
        <v>422</v>
      </c>
      <c r="J27" s="64" t="s">
        <v>536</v>
      </c>
      <c r="K27" s="8" t="s">
        <v>551</v>
      </c>
      <c r="L27" s="64" t="s">
        <v>552</v>
      </c>
      <c r="M27" s="14" t="s">
        <v>521</v>
      </c>
      <c r="N27" s="115" t="s">
        <v>553</v>
      </c>
      <c r="O27" s="11" t="s">
        <v>367</v>
      </c>
      <c r="P27" s="68" t="s">
        <v>433</v>
      </c>
      <c r="Q27" s="11" t="s">
        <v>10</v>
      </c>
      <c r="R27" s="11"/>
      <c r="S27" s="32"/>
      <c r="T27" s="32"/>
      <c r="U27" s="41"/>
      <c r="V27" s="15" t="s">
        <v>430</v>
      </c>
      <c r="W27" s="15"/>
      <c r="X27" s="24"/>
    </row>
    <row r="28" spans="1:24" ht="36" hidden="1">
      <c r="A28" s="40" t="s">
        <v>545</v>
      </c>
      <c r="B28" s="32">
        <v>45826</v>
      </c>
      <c r="C28" s="38" t="s">
        <v>409</v>
      </c>
      <c r="D28" s="23" t="s">
        <v>543</v>
      </c>
      <c r="E28" s="37" t="s">
        <v>503</v>
      </c>
      <c r="F28" s="24" t="s">
        <v>431</v>
      </c>
      <c r="G28" s="110" t="s">
        <v>21</v>
      </c>
      <c r="H28" s="11" t="s">
        <v>10</v>
      </c>
      <c r="I28" s="15" t="s">
        <v>420</v>
      </c>
      <c r="J28" s="64" t="s">
        <v>546</v>
      </c>
      <c r="K28" s="8" t="s">
        <v>547</v>
      </c>
      <c r="L28" s="64" t="s">
        <v>548</v>
      </c>
      <c r="M28" s="14" t="s">
        <v>549</v>
      </c>
      <c r="N28" s="115" t="s">
        <v>550</v>
      </c>
      <c r="O28" s="11" t="s">
        <v>367</v>
      </c>
      <c r="P28" s="68" t="s">
        <v>433</v>
      </c>
      <c r="Q28" s="11" t="s">
        <v>10</v>
      </c>
      <c r="R28" s="11"/>
      <c r="S28" s="32"/>
      <c r="T28" s="32"/>
      <c r="U28" s="41"/>
      <c r="V28" s="15" t="s">
        <v>430</v>
      </c>
      <c r="W28" s="15"/>
      <c r="X28" s="24"/>
    </row>
    <row r="29" spans="1:24" ht="36" hidden="1">
      <c r="A29" s="40" t="s">
        <v>432</v>
      </c>
      <c r="B29" s="32">
        <v>45825</v>
      </c>
      <c r="C29" s="38" t="s">
        <v>409</v>
      </c>
      <c r="D29" s="35" t="s">
        <v>531</v>
      </c>
      <c r="E29" s="37" t="s">
        <v>503</v>
      </c>
      <c r="F29" s="24" t="s">
        <v>431</v>
      </c>
      <c r="G29" s="110" t="s">
        <v>21</v>
      </c>
      <c r="H29" s="11" t="s">
        <v>10</v>
      </c>
      <c r="I29" s="15" t="s">
        <v>505</v>
      </c>
      <c r="J29" s="64" t="s">
        <v>536</v>
      </c>
      <c r="K29" s="8" t="s">
        <v>516</v>
      </c>
      <c r="L29" s="64" t="s">
        <v>517</v>
      </c>
      <c r="M29" s="14" t="s">
        <v>518</v>
      </c>
      <c r="N29" s="115" t="s">
        <v>519</v>
      </c>
      <c r="O29" s="11" t="s">
        <v>507</v>
      </c>
      <c r="P29" s="68" t="s">
        <v>433</v>
      </c>
      <c r="Q29" s="11" t="s">
        <v>10</v>
      </c>
      <c r="R29" s="11"/>
      <c r="S29" s="32"/>
      <c r="T29" s="32"/>
      <c r="U29" s="41"/>
      <c r="V29" s="15" t="s">
        <v>430</v>
      </c>
      <c r="W29" s="15"/>
      <c r="X29" s="24"/>
    </row>
    <row r="30" spans="1:24" ht="36" hidden="1">
      <c r="A30" s="40" t="s">
        <v>432</v>
      </c>
      <c r="B30" s="32">
        <v>45826</v>
      </c>
      <c r="C30" s="38" t="s">
        <v>409</v>
      </c>
      <c r="D30" s="35" t="s">
        <v>531</v>
      </c>
      <c r="E30" s="37" t="s">
        <v>503</v>
      </c>
      <c r="F30" s="24" t="s">
        <v>431</v>
      </c>
      <c r="G30" s="110" t="s">
        <v>21</v>
      </c>
      <c r="H30" s="11" t="s">
        <v>10</v>
      </c>
      <c r="I30" s="15" t="s">
        <v>4</v>
      </c>
      <c r="J30" s="64" t="s">
        <v>536</v>
      </c>
      <c r="K30" s="8" t="s">
        <v>537</v>
      </c>
      <c r="L30" s="64" t="s">
        <v>520</v>
      </c>
      <c r="M30" s="14" t="s">
        <v>521</v>
      </c>
      <c r="N30" s="115" t="s">
        <v>522</v>
      </c>
      <c r="O30" s="11" t="s">
        <v>367</v>
      </c>
      <c r="P30" s="68" t="s">
        <v>433</v>
      </c>
      <c r="Q30" s="11" t="s">
        <v>10</v>
      </c>
      <c r="R30" s="11"/>
      <c r="S30" s="32"/>
      <c r="T30" s="32"/>
      <c r="U30" s="41"/>
      <c r="V30" s="15" t="s">
        <v>430</v>
      </c>
      <c r="W30" s="15"/>
      <c r="X30" s="24"/>
    </row>
    <row r="31" spans="1:24" ht="36" hidden="1">
      <c r="A31" s="40" t="s">
        <v>622</v>
      </c>
      <c r="B31" s="32">
        <v>45826</v>
      </c>
      <c r="C31" s="38" t="s">
        <v>409</v>
      </c>
      <c r="D31" s="23" t="s">
        <v>495</v>
      </c>
      <c r="E31" s="37" t="s">
        <v>503</v>
      </c>
      <c r="F31" s="24" t="s">
        <v>431</v>
      </c>
      <c r="G31" s="110" t="s">
        <v>21</v>
      </c>
      <c r="H31" s="11" t="s">
        <v>10</v>
      </c>
      <c r="I31" s="15" t="s">
        <v>4</v>
      </c>
      <c r="J31" s="64" t="s">
        <v>623</v>
      </c>
      <c r="K31" s="8" t="s">
        <v>624</v>
      </c>
      <c r="L31" s="64" t="s">
        <v>625</v>
      </c>
      <c r="M31" s="14" t="s">
        <v>573</v>
      </c>
      <c r="N31" s="115" t="s">
        <v>626</v>
      </c>
      <c r="O31" s="11" t="s">
        <v>367</v>
      </c>
      <c r="P31" s="63" t="s">
        <v>433</v>
      </c>
      <c r="Q31" s="11" t="s">
        <v>10</v>
      </c>
      <c r="R31" s="11"/>
      <c r="S31" s="32"/>
      <c r="T31" s="32"/>
      <c r="U31" s="41"/>
      <c r="V31" s="15" t="s">
        <v>619</v>
      </c>
      <c r="W31" s="15"/>
      <c r="X31" s="24"/>
    </row>
    <row r="32" spans="1:24" ht="36" hidden="1">
      <c r="A32" s="40" t="s">
        <v>622</v>
      </c>
      <c r="B32" s="32">
        <v>45826</v>
      </c>
      <c r="C32" s="38" t="s">
        <v>409</v>
      </c>
      <c r="D32" s="23" t="s">
        <v>495</v>
      </c>
      <c r="E32" s="37" t="s">
        <v>503</v>
      </c>
      <c r="F32" s="24" t="s">
        <v>431</v>
      </c>
      <c r="G32" s="110" t="s">
        <v>21</v>
      </c>
      <c r="H32" s="11" t="s">
        <v>10</v>
      </c>
      <c r="I32" s="15" t="s">
        <v>4</v>
      </c>
      <c r="J32" s="64" t="s">
        <v>623</v>
      </c>
      <c r="K32" s="8" t="s">
        <v>628</v>
      </c>
      <c r="L32" s="64" t="s">
        <v>629</v>
      </c>
      <c r="M32" s="14" t="s">
        <v>573</v>
      </c>
      <c r="N32" s="115" t="s">
        <v>626</v>
      </c>
      <c r="O32" s="11" t="s">
        <v>367</v>
      </c>
      <c r="P32" s="63" t="s">
        <v>433</v>
      </c>
      <c r="Q32" s="11" t="s">
        <v>10</v>
      </c>
      <c r="R32" s="11"/>
      <c r="S32" s="32"/>
      <c r="T32" s="32"/>
      <c r="U32" s="41"/>
      <c r="V32" s="15" t="s">
        <v>619</v>
      </c>
      <c r="W32" s="15"/>
      <c r="X32" s="24"/>
    </row>
    <row r="33" spans="1:24" ht="36" hidden="1">
      <c r="A33" s="40" t="s">
        <v>622</v>
      </c>
      <c r="B33" s="32">
        <v>45826</v>
      </c>
      <c r="C33" s="38" t="s">
        <v>409</v>
      </c>
      <c r="D33" s="23" t="s">
        <v>495</v>
      </c>
      <c r="E33" s="37" t="s">
        <v>503</v>
      </c>
      <c r="F33" s="24" t="s">
        <v>431</v>
      </c>
      <c r="G33" s="110" t="s">
        <v>21</v>
      </c>
      <c r="H33" s="11" t="s">
        <v>10</v>
      </c>
      <c r="I33" s="15" t="s">
        <v>4</v>
      </c>
      <c r="J33" s="64" t="s">
        <v>623</v>
      </c>
      <c r="K33" s="8" t="s">
        <v>630</v>
      </c>
      <c r="L33" s="64" t="s">
        <v>631</v>
      </c>
      <c r="M33" s="14" t="s">
        <v>579</v>
      </c>
      <c r="N33" s="115" t="s">
        <v>626</v>
      </c>
      <c r="O33" s="11" t="s">
        <v>367</v>
      </c>
      <c r="P33" s="63" t="s">
        <v>433</v>
      </c>
      <c r="Q33" s="11" t="s">
        <v>10</v>
      </c>
      <c r="R33" s="11"/>
      <c r="S33" s="32"/>
      <c r="T33" s="32"/>
      <c r="U33" s="41"/>
      <c r="V33" s="15" t="s">
        <v>619</v>
      </c>
      <c r="W33" s="15"/>
      <c r="X33" s="24"/>
    </row>
    <row r="34" spans="1:24" ht="36" hidden="1">
      <c r="A34" s="40" t="s">
        <v>432</v>
      </c>
      <c r="B34" s="32">
        <v>45820</v>
      </c>
      <c r="C34" s="38" t="s">
        <v>409</v>
      </c>
      <c r="D34" s="23" t="s">
        <v>485</v>
      </c>
      <c r="E34" s="37" t="s">
        <v>503</v>
      </c>
      <c r="F34" s="24" t="s">
        <v>431</v>
      </c>
      <c r="G34" s="110" t="s">
        <v>21</v>
      </c>
      <c r="H34" s="11" t="s">
        <v>10</v>
      </c>
      <c r="I34" s="15" t="s">
        <v>422</v>
      </c>
      <c r="J34" s="64" t="s">
        <v>465</v>
      </c>
      <c r="K34" s="8" t="s">
        <v>442</v>
      </c>
      <c r="L34" s="64" t="s">
        <v>438</v>
      </c>
      <c r="M34" s="14" t="s">
        <v>439</v>
      </c>
      <c r="N34" s="115" t="s">
        <v>440</v>
      </c>
      <c r="O34" s="11" t="s">
        <v>367</v>
      </c>
      <c r="P34" s="68" t="s">
        <v>433</v>
      </c>
      <c r="Q34" s="11" t="s">
        <v>10</v>
      </c>
      <c r="R34" s="11"/>
      <c r="S34" s="32"/>
      <c r="T34" s="32"/>
      <c r="U34" s="41"/>
      <c r="V34" s="15" t="s">
        <v>430</v>
      </c>
      <c r="W34" s="15"/>
      <c r="X34" s="24"/>
    </row>
    <row r="35" spans="1:24" ht="48" hidden="1">
      <c r="A35" s="40" t="s">
        <v>432</v>
      </c>
      <c r="B35" s="32">
        <v>45820</v>
      </c>
      <c r="C35" s="38" t="s">
        <v>409</v>
      </c>
      <c r="D35" s="23" t="s">
        <v>485</v>
      </c>
      <c r="E35" s="37" t="s">
        <v>503</v>
      </c>
      <c r="F35" s="24" t="s">
        <v>431</v>
      </c>
      <c r="G35" s="110" t="s">
        <v>21</v>
      </c>
      <c r="H35" s="11" t="s">
        <v>10</v>
      </c>
      <c r="I35" s="15" t="s">
        <v>420</v>
      </c>
      <c r="J35" s="64" t="s">
        <v>464</v>
      </c>
      <c r="K35" s="8" t="s">
        <v>436</v>
      </c>
      <c r="L35" s="64" t="s">
        <v>434</v>
      </c>
      <c r="M35" s="14" t="s">
        <v>441</v>
      </c>
      <c r="N35" s="115" t="s">
        <v>435</v>
      </c>
      <c r="O35" s="11" t="s">
        <v>367</v>
      </c>
      <c r="P35" s="68" t="s">
        <v>437</v>
      </c>
      <c r="Q35" s="11" t="s">
        <v>10</v>
      </c>
      <c r="R35" s="11"/>
      <c r="S35" s="32"/>
      <c r="T35" s="32"/>
      <c r="U35" s="41"/>
      <c r="V35" s="15" t="s">
        <v>430</v>
      </c>
      <c r="W35" s="15"/>
      <c r="X35" s="24"/>
    </row>
    <row r="36" spans="1:24" ht="36" hidden="1">
      <c r="A36" s="40" t="s">
        <v>432</v>
      </c>
      <c r="B36" s="32">
        <v>45824</v>
      </c>
      <c r="C36" s="38" t="s">
        <v>409</v>
      </c>
      <c r="D36" s="23" t="s">
        <v>485</v>
      </c>
      <c r="E36" s="37" t="s">
        <v>503</v>
      </c>
      <c r="F36" s="24" t="s">
        <v>431</v>
      </c>
      <c r="G36" s="110" t="s">
        <v>21</v>
      </c>
      <c r="H36" s="11" t="s">
        <v>10</v>
      </c>
      <c r="I36" s="15" t="s">
        <v>423</v>
      </c>
      <c r="J36" s="64" t="s">
        <v>466</v>
      </c>
      <c r="K36" s="8" t="s">
        <v>467</v>
      </c>
      <c r="L36" s="64" t="s">
        <v>468</v>
      </c>
      <c r="M36" s="14" t="s">
        <v>469</v>
      </c>
      <c r="N36" s="115" t="s">
        <v>435</v>
      </c>
      <c r="O36" s="11" t="s">
        <v>367</v>
      </c>
      <c r="P36" s="68" t="s">
        <v>433</v>
      </c>
      <c r="Q36" s="11" t="s">
        <v>10</v>
      </c>
      <c r="R36" s="11"/>
      <c r="S36" s="32"/>
      <c r="T36" s="32"/>
      <c r="U36" s="41"/>
      <c r="V36" s="15" t="s">
        <v>430</v>
      </c>
      <c r="W36" s="15"/>
      <c r="X36" s="24"/>
    </row>
    <row r="37" spans="1:24" ht="36" hidden="1">
      <c r="A37" s="40" t="s">
        <v>432</v>
      </c>
      <c r="B37" s="32">
        <v>45821</v>
      </c>
      <c r="C37" s="38" t="s">
        <v>409</v>
      </c>
      <c r="D37" s="23" t="s">
        <v>485</v>
      </c>
      <c r="E37" s="37" t="s">
        <v>503</v>
      </c>
      <c r="F37" s="24" t="s">
        <v>431</v>
      </c>
      <c r="G37" s="110" t="s">
        <v>21</v>
      </c>
      <c r="H37" s="11" t="s">
        <v>10</v>
      </c>
      <c r="I37" s="15" t="s">
        <v>422</v>
      </c>
      <c r="J37" s="64" t="s">
        <v>465</v>
      </c>
      <c r="K37" s="8" t="s">
        <v>450</v>
      </c>
      <c r="L37" s="64" t="s">
        <v>448</v>
      </c>
      <c r="M37" s="14" t="s">
        <v>449</v>
      </c>
      <c r="N37" s="115" t="s">
        <v>435</v>
      </c>
      <c r="O37" s="11" t="s">
        <v>367</v>
      </c>
      <c r="P37" s="68" t="s">
        <v>433</v>
      </c>
      <c r="Q37" s="11" t="s">
        <v>10</v>
      </c>
      <c r="R37" s="11"/>
      <c r="S37" s="32"/>
      <c r="T37" s="32"/>
      <c r="U37" s="41"/>
      <c r="V37" s="15" t="s">
        <v>430</v>
      </c>
      <c r="W37" s="15"/>
      <c r="X37" s="24"/>
    </row>
    <row r="38" spans="1:24" ht="36" hidden="1">
      <c r="B38" s="32">
        <v>45827</v>
      </c>
      <c r="C38" s="38" t="s">
        <v>410</v>
      </c>
      <c r="D38" s="23" t="s">
        <v>491</v>
      </c>
      <c r="E38" s="37" t="s">
        <v>503</v>
      </c>
      <c r="F38" s="24" t="s">
        <v>431</v>
      </c>
      <c r="G38" s="110" t="s">
        <v>21</v>
      </c>
      <c r="H38" s="11" t="s">
        <v>10</v>
      </c>
      <c r="I38" s="15" t="s">
        <v>4</v>
      </c>
      <c r="J38" s="64" t="s">
        <v>4</v>
      </c>
      <c r="K38" s="8" t="s">
        <v>733</v>
      </c>
      <c r="L38" s="64" t="s">
        <v>734</v>
      </c>
      <c r="M38" s="14" t="s">
        <v>521</v>
      </c>
      <c r="N38" s="115" t="s">
        <v>728</v>
      </c>
      <c r="O38" s="11" t="s">
        <v>367</v>
      </c>
      <c r="P38" s="68" t="s">
        <v>729</v>
      </c>
      <c r="Q38" s="11" t="s">
        <v>10</v>
      </c>
      <c r="R38" s="11"/>
      <c r="S38" s="32"/>
      <c r="T38" s="32"/>
      <c r="U38" s="41"/>
      <c r="V38" s="15" t="s">
        <v>351</v>
      </c>
      <c r="W38" s="15"/>
      <c r="X38" s="24"/>
    </row>
    <row r="39" spans="1:24" ht="36" hidden="1">
      <c r="B39" s="32">
        <v>45827</v>
      </c>
      <c r="C39" s="71" t="s">
        <v>410</v>
      </c>
      <c r="D39" s="94" t="s">
        <v>491</v>
      </c>
      <c r="E39" s="77" t="s">
        <v>503</v>
      </c>
      <c r="F39" s="24" t="s">
        <v>431</v>
      </c>
      <c r="G39" s="112" t="s">
        <v>21</v>
      </c>
      <c r="H39" s="90" t="s">
        <v>10</v>
      </c>
      <c r="I39" s="82" t="s">
        <v>4</v>
      </c>
      <c r="J39" s="102" t="s">
        <v>4</v>
      </c>
      <c r="K39" s="84" t="s">
        <v>730</v>
      </c>
      <c r="L39" s="102" t="s">
        <v>731</v>
      </c>
      <c r="M39" s="88" t="s">
        <v>732</v>
      </c>
      <c r="N39" s="117" t="s">
        <v>728</v>
      </c>
      <c r="O39" s="90" t="s">
        <v>367</v>
      </c>
      <c r="P39" s="68" t="s">
        <v>729</v>
      </c>
      <c r="Q39" s="90" t="s">
        <v>10</v>
      </c>
      <c r="R39" s="11"/>
      <c r="S39" s="32"/>
      <c r="T39" s="32"/>
      <c r="U39" s="41"/>
      <c r="V39" s="82" t="s">
        <v>351</v>
      </c>
      <c r="W39" s="15"/>
      <c r="X39" s="47" t="s">
        <v>566</v>
      </c>
    </row>
    <row r="40" spans="1:24" ht="36" hidden="1">
      <c r="B40" s="69">
        <v>45825</v>
      </c>
      <c r="C40" s="70" t="s">
        <v>410</v>
      </c>
      <c r="D40" s="73" t="s">
        <v>491</v>
      </c>
      <c r="E40" s="76" t="s">
        <v>503</v>
      </c>
      <c r="F40" s="54" t="s">
        <v>431</v>
      </c>
      <c r="G40" s="113" t="s">
        <v>21</v>
      </c>
      <c r="H40" s="89" t="s">
        <v>10</v>
      </c>
      <c r="I40" s="80" t="s">
        <v>4</v>
      </c>
      <c r="J40" s="103" t="s">
        <v>4</v>
      </c>
      <c r="K40" s="83" t="s">
        <v>725</v>
      </c>
      <c r="L40" s="103" t="s">
        <v>726</v>
      </c>
      <c r="M40" s="87" t="s">
        <v>727</v>
      </c>
      <c r="N40" s="118" t="s">
        <v>728</v>
      </c>
      <c r="O40" s="89" t="s">
        <v>367</v>
      </c>
      <c r="P40" s="95" t="s">
        <v>729</v>
      </c>
      <c r="Q40" s="89" t="s">
        <v>10</v>
      </c>
      <c r="R40" s="11"/>
      <c r="S40" s="32"/>
      <c r="T40" s="32"/>
      <c r="U40" s="41"/>
      <c r="V40" s="80" t="s">
        <v>351</v>
      </c>
      <c r="W40" s="15"/>
      <c r="X40" s="55" t="s">
        <v>566</v>
      </c>
    </row>
    <row r="41" spans="1:24" ht="36" hidden="1">
      <c r="B41" s="91">
        <v>45820</v>
      </c>
      <c r="C41" s="92" t="s">
        <v>409</v>
      </c>
      <c r="D41" s="93" t="s">
        <v>489</v>
      </c>
      <c r="E41" s="76" t="s">
        <v>503</v>
      </c>
      <c r="F41" s="54" t="s">
        <v>20</v>
      </c>
      <c r="G41" s="113" t="s">
        <v>21</v>
      </c>
      <c r="H41" s="89" t="s">
        <v>10</v>
      </c>
      <c r="I41" s="83" t="s">
        <v>504</v>
      </c>
      <c r="J41" s="103" t="s">
        <v>570</v>
      </c>
      <c r="K41" s="51" t="s">
        <v>685</v>
      </c>
      <c r="L41" s="60" t="s">
        <v>686</v>
      </c>
      <c r="M41" s="51" t="s">
        <v>687</v>
      </c>
      <c r="N41" s="60" t="s">
        <v>688</v>
      </c>
      <c r="O41" s="93" t="s">
        <v>507</v>
      </c>
      <c r="P41" s="61" t="s">
        <v>433</v>
      </c>
      <c r="Q41" s="89" t="s">
        <v>10</v>
      </c>
      <c r="R41" s="11"/>
      <c r="S41" s="32"/>
      <c r="T41" s="32"/>
      <c r="U41" s="41"/>
      <c r="V41" s="93" t="s">
        <v>681</v>
      </c>
      <c r="W41" s="15"/>
      <c r="X41" s="55" t="s">
        <v>566</v>
      </c>
    </row>
    <row r="42" spans="1:24" ht="36" hidden="1">
      <c r="B42" s="91">
        <v>45827</v>
      </c>
      <c r="C42" s="92" t="s">
        <v>409</v>
      </c>
      <c r="D42" s="93" t="s">
        <v>489</v>
      </c>
      <c r="E42" s="76" t="s">
        <v>503</v>
      </c>
      <c r="F42" s="54" t="s">
        <v>20</v>
      </c>
      <c r="G42" s="113" t="s">
        <v>21</v>
      </c>
      <c r="H42" s="89" t="s">
        <v>10</v>
      </c>
      <c r="I42" s="83" t="s">
        <v>509</v>
      </c>
      <c r="J42" s="103" t="s">
        <v>691</v>
      </c>
      <c r="K42" s="51" t="s">
        <v>692</v>
      </c>
      <c r="L42" s="60" t="s">
        <v>693</v>
      </c>
      <c r="M42" s="51" t="s">
        <v>549</v>
      </c>
      <c r="N42" s="60" t="s">
        <v>694</v>
      </c>
      <c r="O42" s="93" t="s">
        <v>507</v>
      </c>
      <c r="P42" s="61" t="s">
        <v>433</v>
      </c>
      <c r="Q42" s="89" t="s">
        <v>10</v>
      </c>
      <c r="R42" s="11"/>
      <c r="S42" s="32"/>
      <c r="T42" s="32"/>
      <c r="U42" s="41"/>
      <c r="V42" s="93" t="s">
        <v>681</v>
      </c>
      <c r="W42" s="15"/>
      <c r="X42" s="55" t="s">
        <v>566</v>
      </c>
    </row>
    <row r="43" spans="1:24" ht="24" hidden="1">
      <c r="A43" s="40" t="s">
        <v>580</v>
      </c>
      <c r="B43" s="50">
        <v>45820</v>
      </c>
      <c r="C43" s="51" t="s">
        <v>409</v>
      </c>
      <c r="D43" s="52" t="s">
        <v>493</v>
      </c>
      <c r="E43" s="53" t="s">
        <v>503</v>
      </c>
      <c r="F43" s="54" t="s">
        <v>62</v>
      </c>
      <c r="G43" s="114" t="s">
        <v>9</v>
      </c>
      <c r="H43" s="52" t="s">
        <v>10</v>
      </c>
      <c r="I43" s="57" t="s">
        <v>505</v>
      </c>
      <c r="J43" s="108" t="s">
        <v>505</v>
      </c>
      <c r="K43" s="56" t="s">
        <v>528</v>
      </c>
      <c r="L43" s="59" t="s">
        <v>581</v>
      </c>
      <c r="M43" s="57" t="s">
        <v>505</v>
      </c>
      <c r="N43" s="109" t="s">
        <v>582</v>
      </c>
      <c r="O43" s="51"/>
      <c r="P43" s="61" t="s">
        <v>583</v>
      </c>
      <c r="Q43" s="52" t="s">
        <v>10</v>
      </c>
      <c r="R43" s="48" t="s">
        <v>566</v>
      </c>
      <c r="S43" s="48" t="s">
        <v>566</v>
      </c>
      <c r="T43" s="48" t="s">
        <v>566</v>
      </c>
      <c r="U43" s="49" t="s">
        <v>566</v>
      </c>
      <c r="V43" s="58" t="s">
        <v>567</v>
      </c>
      <c r="W43" s="48" t="s">
        <v>566</v>
      </c>
      <c r="X43" s="55" t="s">
        <v>566</v>
      </c>
    </row>
    <row r="44" spans="1:24" hidden="1">
      <c r="A44" s="40" t="s">
        <v>447</v>
      </c>
      <c r="B44" s="69">
        <v>45825</v>
      </c>
      <c r="C44" s="70" t="s">
        <v>409</v>
      </c>
      <c r="D44" s="74" t="s">
        <v>531</v>
      </c>
      <c r="E44" s="76" t="s">
        <v>503</v>
      </c>
      <c r="F44" s="54" t="s">
        <v>446</v>
      </c>
      <c r="G44" s="113" t="s">
        <v>9</v>
      </c>
      <c r="H44" s="89" t="s">
        <v>10</v>
      </c>
      <c r="I44" s="80" t="s">
        <v>4</v>
      </c>
      <c r="J44" s="103" t="s">
        <v>4</v>
      </c>
      <c r="K44" s="83" t="s">
        <v>538</v>
      </c>
      <c r="L44" s="103" t="s">
        <v>524</v>
      </c>
      <c r="M44" s="87" t="s">
        <v>525</v>
      </c>
      <c r="N44" s="118" t="s">
        <v>539</v>
      </c>
      <c r="O44" s="89" t="s">
        <v>367</v>
      </c>
      <c r="P44" s="95" t="s">
        <v>540</v>
      </c>
      <c r="Q44" s="89" t="s">
        <v>10</v>
      </c>
      <c r="R44" s="11"/>
      <c r="S44" s="32"/>
      <c r="T44" s="32"/>
      <c r="U44" s="41"/>
      <c r="V44" s="80" t="s">
        <v>430</v>
      </c>
      <c r="W44" s="15"/>
      <c r="X44" s="55" t="s">
        <v>566</v>
      </c>
    </row>
    <row r="45" spans="1:24" hidden="1">
      <c r="A45" s="40" t="s">
        <v>554</v>
      </c>
      <c r="B45" s="69">
        <v>45826</v>
      </c>
      <c r="C45" s="70" t="s">
        <v>409</v>
      </c>
      <c r="D45" s="73" t="s">
        <v>543</v>
      </c>
      <c r="E45" s="76" t="s">
        <v>503</v>
      </c>
      <c r="F45" s="54" t="s">
        <v>446</v>
      </c>
      <c r="G45" s="113" t="s">
        <v>9</v>
      </c>
      <c r="H45" s="89" t="s">
        <v>10</v>
      </c>
      <c r="I45" s="80" t="s">
        <v>4</v>
      </c>
      <c r="J45" s="103" t="s">
        <v>4</v>
      </c>
      <c r="K45" s="83" t="s">
        <v>523</v>
      </c>
      <c r="L45" s="103" t="s">
        <v>524</v>
      </c>
      <c r="M45" s="87" t="s">
        <v>525</v>
      </c>
      <c r="N45" s="118" t="s">
        <v>526</v>
      </c>
      <c r="O45" s="89" t="s">
        <v>507</v>
      </c>
      <c r="P45" s="95" t="s">
        <v>527</v>
      </c>
      <c r="Q45" s="89" t="s">
        <v>10</v>
      </c>
      <c r="R45" s="11"/>
      <c r="S45" s="32"/>
      <c r="T45" s="32"/>
      <c r="U45" s="41"/>
      <c r="V45" s="80" t="s">
        <v>430</v>
      </c>
      <c r="W45" s="15"/>
      <c r="X45" s="55" t="s">
        <v>566</v>
      </c>
    </row>
    <row r="46" spans="1:24" ht="24" hidden="1">
      <c r="A46" s="40" t="s">
        <v>632</v>
      </c>
      <c r="B46" s="69">
        <v>45827</v>
      </c>
      <c r="C46" s="70" t="s">
        <v>409</v>
      </c>
      <c r="D46" s="73" t="s">
        <v>495</v>
      </c>
      <c r="E46" s="76" t="s">
        <v>503</v>
      </c>
      <c r="F46" s="54" t="s">
        <v>446</v>
      </c>
      <c r="G46" s="113" t="s">
        <v>9</v>
      </c>
      <c r="H46" s="89" t="s">
        <v>10</v>
      </c>
      <c r="I46" s="80" t="s">
        <v>4</v>
      </c>
      <c r="J46" s="103" t="s">
        <v>4</v>
      </c>
      <c r="K46" s="83" t="s">
        <v>477</v>
      </c>
      <c r="L46" s="96" t="s">
        <v>633</v>
      </c>
      <c r="M46" s="87" t="s">
        <v>4</v>
      </c>
      <c r="N46" s="118" t="s">
        <v>634</v>
      </c>
      <c r="O46" s="89" t="s">
        <v>367</v>
      </c>
      <c r="P46" s="101" t="s">
        <v>635</v>
      </c>
      <c r="Q46" s="89" t="s">
        <v>10</v>
      </c>
      <c r="R46" s="11"/>
      <c r="S46" s="32"/>
      <c r="T46" s="32"/>
      <c r="U46" s="41"/>
      <c r="V46" s="80" t="s">
        <v>619</v>
      </c>
      <c r="W46" s="15"/>
      <c r="X46" s="55" t="s">
        <v>566</v>
      </c>
    </row>
    <row r="47" spans="1:24" ht="24" hidden="1">
      <c r="A47" s="40" t="s">
        <v>447</v>
      </c>
      <c r="B47" s="69">
        <v>45824</v>
      </c>
      <c r="C47" s="70" t="s">
        <v>409</v>
      </c>
      <c r="D47" s="73" t="s">
        <v>485</v>
      </c>
      <c r="E47" s="76" t="s">
        <v>503</v>
      </c>
      <c r="F47" s="54" t="s">
        <v>446</v>
      </c>
      <c r="G47" s="113" t="s">
        <v>9</v>
      </c>
      <c r="H47" s="89" t="s">
        <v>10</v>
      </c>
      <c r="I47" s="80" t="s">
        <v>422</v>
      </c>
      <c r="J47" s="103" t="s">
        <v>475</v>
      </c>
      <c r="K47" s="83" t="s">
        <v>471</v>
      </c>
      <c r="L47" s="103" t="s">
        <v>472</v>
      </c>
      <c r="M47" s="87" t="s">
        <v>4</v>
      </c>
      <c r="N47" s="118" t="s">
        <v>473</v>
      </c>
      <c r="O47" s="89" t="s">
        <v>367</v>
      </c>
      <c r="P47" s="95" t="s">
        <v>474</v>
      </c>
      <c r="Q47" s="89" t="s">
        <v>10</v>
      </c>
      <c r="R47" s="11"/>
      <c r="S47" s="32"/>
      <c r="T47" s="32"/>
      <c r="U47" s="41"/>
      <c r="V47" s="80" t="s">
        <v>430</v>
      </c>
      <c r="W47" s="15"/>
      <c r="X47" s="55" t="s">
        <v>566</v>
      </c>
    </row>
    <row r="48" spans="1:24" ht="24" hidden="1">
      <c r="A48" s="40" t="s">
        <v>447</v>
      </c>
      <c r="B48" s="69">
        <v>45821</v>
      </c>
      <c r="C48" s="70" t="s">
        <v>409</v>
      </c>
      <c r="D48" s="73" t="s">
        <v>485</v>
      </c>
      <c r="E48" s="76" t="s">
        <v>503</v>
      </c>
      <c r="F48" s="54" t="s">
        <v>446</v>
      </c>
      <c r="G48" s="113" t="s">
        <v>9</v>
      </c>
      <c r="H48" s="89" t="s">
        <v>10</v>
      </c>
      <c r="I48" s="80" t="s">
        <v>420</v>
      </c>
      <c r="J48" s="103" t="s">
        <v>470</v>
      </c>
      <c r="K48" s="83" t="s">
        <v>453</v>
      </c>
      <c r="L48" s="103" t="s">
        <v>451</v>
      </c>
      <c r="M48" s="87" t="s">
        <v>4</v>
      </c>
      <c r="N48" s="118" t="s">
        <v>4</v>
      </c>
      <c r="O48" s="89" t="s">
        <v>367</v>
      </c>
      <c r="P48" s="95" t="s">
        <v>452</v>
      </c>
      <c r="Q48" s="89" t="s">
        <v>10</v>
      </c>
      <c r="R48" s="11"/>
      <c r="S48" s="32"/>
      <c r="T48" s="32"/>
      <c r="U48" s="41"/>
      <c r="V48" s="80" t="s">
        <v>430</v>
      </c>
      <c r="W48" s="15"/>
      <c r="X48" s="55" t="s">
        <v>566</v>
      </c>
    </row>
    <row r="49" spans="1:24" hidden="1">
      <c r="B49" s="69">
        <v>45825</v>
      </c>
      <c r="C49" s="70" t="s">
        <v>410</v>
      </c>
      <c r="D49" s="73" t="s">
        <v>491</v>
      </c>
      <c r="E49" s="76" t="s">
        <v>503</v>
      </c>
      <c r="F49" s="54" t="s">
        <v>446</v>
      </c>
      <c r="G49" s="113" t="s">
        <v>9</v>
      </c>
      <c r="H49" s="89" t="s">
        <v>10</v>
      </c>
      <c r="I49" s="80" t="s">
        <v>4</v>
      </c>
      <c r="J49" s="103" t="s">
        <v>4</v>
      </c>
      <c r="K49" s="83" t="s">
        <v>735</v>
      </c>
      <c r="L49" s="103" t="s">
        <v>736</v>
      </c>
      <c r="M49" s="87" t="s">
        <v>737</v>
      </c>
      <c r="N49" s="118" t="s">
        <v>4</v>
      </c>
      <c r="O49" s="89" t="s">
        <v>367</v>
      </c>
      <c r="P49" s="95" t="s">
        <v>738</v>
      </c>
      <c r="Q49" s="89" t="s">
        <v>10</v>
      </c>
      <c r="R49" s="11"/>
      <c r="S49" s="32"/>
      <c r="T49" s="32"/>
      <c r="U49" s="41"/>
      <c r="V49" s="80" t="s">
        <v>351</v>
      </c>
      <c r="W49" s="15"/>
      <c r="X49" s="55" t="s">
        <v>566</v>
      </c>
    </row>
    <row r="50" spans="1:24" ht="24" hidden="1">
      <c r="B50" s="91">
        <v>45819</v>
      </c>
      <c r="C50" s="92" t="s">
        <v>409</v>
      </c>
      <c r="D50" s="93" t="s">
        <v>489</v>
      </c>
      <c r="E50" s="76" t="s">
        <v>503</v>
      </c>
      <c r="F50" s="54" t="s">
        <v>62</v>
      </c>
      <c r="G50" s="113" t="s">
        <v>9</v>
      </c>
      <c r="H50" s="89" t="s">
        <v>10</v>
      </c>
      <c r="I50" s="83" t="s">
        <v>505</v>
      </c>
      <c r="J50" s="103" t="s">
        <v>505</v>
      </c>
      <c r="K50" s="51" t="s">
        <v>695</v>
      </c>
      <c r="L50" s="60" t="s">
        <v>696</v>
      </c>
      <c r="M50" s="51" t="s">
        <v>525</v>
      </c>
      <c r="N50" s="60" t="s">
        <v>697</v>
      </c>
      <c r="O50" s="93" t="s">
        <v>507</v>
      </c>
      <c r="P50" s="61" t="s">
        <v>698</v>
      </c>
      <c r="Q50" s="89" t="s">
        <v>10</v>
      </c>
      <c r="R50" s="11"/>
      <c r="S50" s="32"/>
      <c r="T50" s="32"/>
      <c r="U50" s="41"/>
      <c r="V50" s="93" t="s">
        <v>681</v>
      </c>
      <c r="W50" s="15"/>
      <c r="X50" s="55" t="s">
        <v>566</v>
      </c>
    </row>
    <row r="51" spans="1:24" ht="36" hidden="1">
      <c r="A51" s="40" t="s">
        <v>580</v>
      </c>
      <c r="B51" s="50">
        <v>45819</v>
      </c>
      <c r="C51" s="51" t="s">
        <v>409</v>
      </c>
      <c r="D51" s="52" t="s">
        <v>493</v>
      </c>
      <c r="E51" s="53" t="s">
        <v>503</v>
      </c>
      <c r="F51" s="54" t="s">
        <v>73</v>
      </c>
      <c r="G51" s="114" t="s">
        <v>14</v>
      </c>
      <c r="H51" s="52" t="s">
        <v>10</v>
      </c>
      <c r="I51" s="55" t="s">
        <v>504</v>
      </c>
      <c r="J51" s="109" t="s">
        <v>584</v>
      </c>
      <c r="K51" s="59" t="s">
        <v>585</v>
      </c>
      <c r="L51" s="105" t="s">
        <v>773</v>
      </c>
      <c r="M51" s="55" t="s">
        <v>586</v>
      </c>
      <c r="N51" s="108" t="s">
        <v>505</v>
      </c>
      <c r="O51" s="60"/>
      <c r="P51" s="61" t="s">
        <v>772</v>
      </c>
      <c r="Q51" s="52" t="s">
        <v>10</v>
      </c>
      <c r="R51" s="48" t="s">
        <v>566</v>
      </c>
      <c r="S51" s="48" t="s">
        <v>566</v>
      </c>
      <c r="T51" s="48" t="s">
        <v>566</v>
      </c>
      <c r="U51" s="49" t="s">
        <v>566</v>
      </c>
      <c r="V51" s="58" t="s">
        <v>567</v>
      </c>
      <c r="W51" s="48" t="s">
        <v>566</v>
      </c>
      <c r="X51" s="55" t="s">
        <v>566</v>
      </c>
    </row>
    <row r="52" spans="1:24" ht="27" hidden="1">
      <c r="A52" s="40" t="s">
        <v>593</v>
      </c>
      <c r="B52" s="50">
        <v>45821</v>
      </c>
      <c r="C52" s="51" t="s">
        <v>409</v>
      </c>
      <c r="D52" s="52" t="s">
        <v>493</v>
      </c>
      <c r="E52" s="53" t="s">
        <v>503</v>
      </c>
      <c r="F52" s="54" t="s">
        <v>73</v>
      </c>
      <c r="G52" s="114" t="s">
        <v>14</v>
      </c>
      <c r="H52" s="52" t="s">
        <v>10</v>
      </c>
      <c r="I52" s="55" t="s">
        <v>513</v>
      </c>
      <c r="J52" s="109" t="s">
        <v>594</v>
      </c>
      <c r="K52" s="56" t="s">
        <v>595</v>
      </c>
      <c r="L52" s="105" t="s">
        <v>774</v>
      </c>
      <c r="M52" s="55" t="s">
        <v>596</v>
      </c>
      <c r="N52" s="108" t="s">
        <v>505</v>
      </c>
      <c r="O52" s="60"/>
      <c r="P52" s="61" t="s">
        <v>775</v>
      </c>
      <c r="Q52" s="52" t="s">
        <v>10</v>
      </c>
      <c r="R52" s="48" t="s">
        <v>566</v>
      </c>
      <c r="S52" s="48" t="s">
        <v>566</v>
      </c>
      <c r="T52" s="48" t="s">
        <v>566</v>
      </c>
      <c r="U52" s="49" t="s">
        <v>566</v>
      </c>
      <c r="V52" s="58" t="s">
        <v>567</v>
      </c>
      <c r="W52" s="48" t="s">
        <v>566</v>
      </c>
      <c r="X52" s="55" t="s">
        <v>566</v>
      </c>
    </row>
    <row r="53" spans="1:24" ht="36" hidden="1">
      <c r="A53" s="40" t="s">
        <v>580</v>
      </c>
      <c r="B53" s="50">
        <v>45819</v>
      </c>
      <c r="C53" s="51" t="s">
        <v>409</v>
      </c>
      <c r="D53" s="52" t="s">
        <v>493</v>
      </c>
      <c r="E53" s="53" t="s">
        <v>503</v>
      </c>
      <c r="F53" s="54" t="s">
        <v>73</v>
      </c>
      <c r="G53" s="114" t="s">
        <v>14</v>
      </c>
      <c r="H53" s="52" t="s">
        <v>10</v>
      </c>
      <c r="I53" s="55" t="s">
        <v>504</v>
      </c>
      <c r="J53" s="109" t="s">
        <v>584</v>
      </c>
      <c r="K53" s="59" t="s">
        <v>588</v>
      </c>
      <c r="L53" s="59" t="s">
        <v>572</v>
      </c>
      <c r="M53" s="55" t="s">
        <v>586</v>
      </c>
      <c r="N53" s="108" t="s">
        <v>505</v>
      </c>
      <c r="O53" s="60"/>
      <c r="P53" s="61" t="s">
        <v>587</v>
      </c>
      <c r="Q53" s="52" t="s">
        <v>10</v>
      </c>
      <c r="R53" s="48" t="s">
        <v>566</v>
      </c>
      <c r="S53" s="48" t="s">
        <v>566</v>
      </c>
      <c r="T53" s="48" t="s">
        <v>566</v>
      </c>
      <c r="U53" s="49" t="s">
        <v>566</v>
      </c>
      <c r="V53" s="58" t="s">
        <v>567</v>
      </c>
      <c r="W53" s="48" t="s">
        <v>566</v>
      </c>
      <c r="X53" s="55" t="s">
        <v>566</v>
      </c>
    </row>
    <row r="54" spans="1:24" ht="36" hidden="1">
      <c r="B54" s="50">
        <v>45824</v>
      </c>
      <c r="C54" s="51" t="s">
        <v>409</v>
      </c>
      <c r="D54" s="52" t="s">
        <v>493</v>
      </c>
      <c r="E54" s="53" t="s">
        <v>503</v>
      </c>
      <c r="F54" s="54" t="s">
        <v>73</v>
      </c>
      <c r="G54" s="114" t="s">
        <v>14</v>
      </c>
      <c r="H54" s="52" t="s">
        <v>10</v>
      </c>
      <c r="I54" s="55" t="s">
        <v>597</v>
      </c>
      <c r="J54" s="109" t="s">
        <v>598</v>
      </c>
      <c r="K54" s="56" t="s">
        <v>599</v>
      </c>
      <c r="L54" s="59" t="s">
        <v>600</v>
      </c>
      <c r="M54" s="55" t="s">
        <v>601</v>
      </c>
      <c r="N54" s="108" t="s">
        <v>505</v>
      </c>
      <c r="O54" s="60"/>
      <c r="P54" s="61" t="s">
        <v>602</v>
      </c>
      <c r="Q54" s="52" t="s">
        <v>10</v>
      </c>
      <c r="R54" s="48" t="s">
        <v>566</v>
      </c>
      <c r="S54" s="48" t="s">
        <v>566</v>
      </c>
      <c r="T54" s="48" t="s">
        <v>566</v>
      </c>
      <c r="U54" s="49" t="s">
        <v>566</v>
      </c>
      <c r="V54" s="58" t="s">
        <v>567</v>
      </c>
      <c r="W54" s="48" t="s">
        <v>566</v>
      </c>
      <c r="X54" s="55" t="s">
        <v>566</v>
      </c>
    </row>
    <row r="55" spans="1:24" ht="24" hidden="1">
      <c r="A55" s="40" t="s">
        <v>580</v>
      </c>
      <c r="B55" s="50">
        <v>45820</v>
      </c>
      <c r="C55" s="51" t="s">
        <v>409</v>
      </c>
      <c r="D55" s="52" t="s">
        <v>493</v>
      </c>
      <c r="E55" s="53" t="s">
        <v>503</v>
      </c>
      <c r="F55" s="54" t="s">
        <v>73</v>
      </c>
      <c r="G55" s="114" t="s">
        <v>14</v>
      </c>
      <c r="H55" s="52" t="s">
        <v>10</v>
      </c>
      <c r="I55" s="55" t="s">
        <v>509</v>
      </c>
      <c r="J55" s="109" t="s">
        <v>589</v>
      </c>
      <c r="K55" s="56" t="s">
        <v>523</v>
      </c>
      <c r="L55" s="59" t="s">
        <v>590</v>
      </c>
      <c r="M55" s="55" t="s">
        <v>591</v>
      </c>
      <c r="N55" s="108" t="s">
        <v>505</v>
      </c>
      <c r="O55" s="60"/>
      <c r="P55" s="61" t="s">
        <v>592</v>
      </c>
      <c r="Q55" s="52" t="s">
        <v>10</v>
      </c>
      <c r="R55" s="48" t="s">
        <v>566</v>
      </c>
      <c r="S55" s="48" t="s">
        <v>566</v>
      </c>
      <c r="T55" s="48" t="s">
        <v>566</v>
      </c>
      <c r="U55" s="49" t="s">
        <v>566</v>
      </c>
      <c r="V55" s="58" t="s">
        <v>567</v>
      </c>
      <c r="W55" s="48" t="s">
        <v>566</v>
      </c>
      <c r="X55" s="55" t="s">
        <v>566</v>
      </c>
    </row>
    <row r="56" spans="1:24" ht="36" hidden="1">
      <c r="B56" s="46">
        <v>45824</v>
      </c>
      <c r="C56" s="39" t="s">
        <v>409</v>
      </c>
      <c r="D56" s="72" t="s">
        <v>493</v>
      </c>
      <c r="E56" s="75" t="s">
        <v>503</v>
      </c>
      <c r="F56" s="24" t="s">
        <v>73</v>
      </c>
      <c r="G56" s="111" t="s">
        <v>14</v>
      </c>
      <c r="H56" s="72" t="s">
        <v>10</v>
      </c>
      <c r="I56" s="81" t="s">
        <v>597</v>
      </c>
      <c r="J56" s="107" t="s">
        <v>598</v>
      </c>
      <c r="K56" s="85" t="s">
        <v>603</v>
      </c>
      <c r="L56" s="86" t="s">
        <v>604</v>
      </c>
      <c r="M56" s="81" t="s">
        <v>601</v>
      </c>
      <c r="N56" s="116" t="s">
        <v>505</v>
      </c>
      <c r="O56" s="67"/>
      <c r="P56" s="67" t="s">
        <v>605</v>
      </c>
      <c r="Q56" s="72" t="s">
        <v>10</v>
      </c>
      <c r="R56" s="48" t="s">
        <v>566</v>
      </c>
      <c r="S56" s="48" t="s">
        <v>566</v>
      </c>
      <c r="T56" s="48" t="s">
        <v>566</v>
      </c>
      <c r="U56" s="49" t="s">
        <v>566</v>
      </c>
      <c r="V56" s="24" t="s">
        <v>567</v>
      </c>
      <c r="W56" s="48" t="s">
        <v>566</v>
      </c>
      <c r="X56" s="24"/>
    </row>
    <row r="57" spans="1:24" ht="36" hidden="1">
      <c r="B57" s="46">
        <v>45824</v>
      </c>
      <c r="C57" s="39" t="s">
        <v>409</v>
      </c>
      <c r="D57" s="72" t="s">
        <v>493</v>
      </c>
      <c r="E57" s="75" t="s">
        <v>503</v>
      </c>
      <c r="F57" s="24" t="s">
        <v>73</v>
      </c>
      <c r="G57" s="111" t="s">
        <v>14</v>
      </c>
      <c r="H57" s="72" t="s">
        <v>10</v>
      </c>
      <c r="I57" s="81" t="s">
        <v>597</v>
      </c>
      <c r="J57" s="107" t="s">
        <v>598</v>
      </c>
      <c r="K57" s="85" t="s">
        <v>606</v>
      </c>
      <c r="L57" s="86" t="s">
        <v>607</v>
      </c>
      <c r="M57" s="81" t="s">
        <v>608</v>
      </c>
      <c r="N57" s="116" t="s">
        <v>505</v>
      </c>
      <c r="O57" s="67"/>
      <c r="P57" s="67" t="s">
        <v>609</v>
      </c>
      <c r="Q57" s="72" t="s">
        <v>10</v>
      </c>
      <c r="R57" s="48" t="s">
        <v>566</v>
      </c>
      <c r="S57" s="48" t="s">
        <v>566</v>
      </c>
      <c r="T57" s="48" t="s">
        <v>566</v>
      </c>
      <c r="U57" s="49" t="s">
        <v>566</v>
      </c>
      <c r="V57" s="24" t="s">
        <v>567</v>
      </c>
      <c r="W57" s="48" t="s">
        <v>566</v>
      </c>
      <c r="X57" s="24"/>
    </row>
    <row r="58" spans="1:24" ht="36" hidden="1">
      <c r="A58" s="40" t="s">
        <v>555</v>
      </c>
      <c r="B58" s="32">
        <v>45827</v>
      </c>
      <c r="C58" s="38" t="s">
        <v>409</v>
      </c>
      <c r="D58" s="23" t="s">
        <v>543</v>
      </c>
      <c r="E58" s="37" t="s">
        <v>503</v>
      </c>
      <c r="F58" s="24" t="s">
        <v>556</v>
      </c>
      <c r="G58" s="110" t="s">
        <v>14</v>
      </c>
      <c r="H58" s="11" t="s">
        <v>10</v>
      </c>
      <c r="I58" s="15" t="s">
        <v>4</v>
      </c>
      <c r="J58" s="64" t="s">
        <v>4</v>
      </c>
      <c r="K58" s="8" t="s">
        <v>557</v>
      </c>
      <c r="L58" s="64" t="s">
        <v>558</v>
      </c>
      <c r="M58" s="14" t="s">
        <v>559</v>
      </c>
      <c r="N58" s="115" t="s">
        <v>560</v>
      </c>
      <c r="O58" s="11" t="s">
        <v>367</v>
      </c>
      <c r="P58" s="68" t="s">
        <v>561</v>
      </c>
      <c r="Q58" s="11" t="s">
        <v>10</v>
      </c>
      <c r="R58" s="11"/>
      <c r="S58" s="32"/>
      <c r="T58" s="32"/>
      <c r="U58" s="41"/>
      <c r="V58" s="15" t="s">
        <v>430</v>
      </c>
      <c r="W58" s="15"/>
      <c r="X58" s="5" t="s">
        <v>627</v>
      </c>
    </row>
    <row r="59" spans="1:24" ht="36" hidden="1">
      <c r="A59" s="40" t="s">
        <v>636</v>
      </c>
      <c r="B59" s="32">
        <v>45827</v>
      </c>
      <c r="C59" s="38" t="s">
        <v>409</v>
      </c>
      <c r="D59" s="23" t="s">
        <v>495</v>
      </c>
      <c r="E59" s="37" t="s">
        <v>503</v>
      </c>
      <c r="F59" s="24" t="s">
        <v>556</v>
      </c>
      <c r="G59" s="110" t="s">
        <v>14</v>
      </c>
      <c r="H59" s="11" t="s">
        <v>10</v>
      </c>
      <c r="I59" s="15" t="s">
        <v>420</v>
      </c>
      <c r="J59" s="64" t="s">
        <v>637</v>
      </c>
      <c r="K59" s="64" t="s">
        <v>638</v>
      </c>
      <c r="L59" s="104" t="s">
        <v>639</v>
      </c>
      <c r="M59" s="14" t="s">
        <v>640</v>
      </c>
      <c r="N59" s="115" t="s">
        <v>4</v>
      </c>
      <c r="O59" s="11" t="s">
        <v>367</v>
      </c>
      <c r="P59" s="63" t="s">
        <v>641</v>
      </c>
      <c r="Q59" s="11" t="s">
        <v>10</v>
      </c>
      <c r="R59" s="11"/>
      <c r="S59" s="32"/>
      <c r="T59" s="32"/>
      <c r="U59" s="41"/>
      <c r="V59" s="15" t="s">
        <v>619</v>
      </c>
      <c r="W59" s="15"/>
      <c r="X59" s="24"/>
    </row>
    <row r="60" spans="1:24" ht="24" hidden="1">
      <c r="A60" s="40" t="s">
        <v>636</v>
      </c>
      <c r="B60" s="32">
        <v>45827</v>
      </c>
      <c r="C60" s="38" t="s">
        <v>409</v>
      </c>
      <c r="D60" s="23" t="s">
        <v>495</v>
      </c>
      <c r="E60" s="37" t="s">
        <v>503</v>
      </c>
      <c r="F60" s="24" t="s">
        <v>556</v>
      </c>
      <c r="G60" s="110" t="s">
        <v>14</v>
      </c>
      <c r="H60" s="11" t="s">
        <v>10</v>
      </c>
      <c r="I60" s="15" t="s">
        <v>423</v>
      </c>
      <c r="J60" s="64" t="s">
        <v>647</v>
      </c>
      <c r="K60" s="8" t="s">
        <v>648</v>
      </c>
      <c r="L60" s="64" t="s">
        <v>649</v>
      </c>
      <c r="M60" s="14" t="s">
        <v>650</v>
      </c>
      <c r="N60" s="115" t="s">
        <v>4</v>
      </c>
      <c r="O60" s="11" t="s">
        <v>367</v>
      </c>
      <c r="P60" s="63" t="s">
        <v>651</v>
      </c>
      <c r="Q60" s="11" t="s">
        <v>10</v>
      </c>
      <c r="R60" s="11"/>
      <c r="S60" s="32"/>
      <c r="T60" s="32"/>
      <c r="U60" s="41"/>
      <c r="V60" s="15" t="s">
        <v>619</v>
      </c>
      <c r="W60" s="15"/>
      <c r="X60" s="24"/>
    </row>
    <row r="61" spans="1:24" ht="36" hidden="1">
      <c r="A61" s="40" t="s">
        <v>636</v>
      </c>
      <c r="B61" s="32">
        <v>45827</v>
      </c>
      <c r="C61" s="38" t="s">
        <v>409</v>
      </c>
      <c r="D61" s="23" t="s">
        <v>495</v>
      </c>
      <c r="E61" s="37" t="s">
        <v>503</v>
      </c>
      <c r="F61" s="24" t="s">
        <v>556</v>
      </c>
      <c r="G61" s="110" t="s">
        <v>14</v>
      </c>
      <c r="H61" s="11" t="s">
        <v>10</v>
      </c>
      <c r="I61" s="15" t="s">
        <v>420</v>
      </c>
      <c r="J61" s="64" t="s">
        <v>637</v>
      </c>
      <c r="K61" s="64" t="s">
        <v>642</v>
      </c>
      <c r="L61" s="64" t="s">
        <v>625</v>
      </c>
      <c r="M61" s="14" t="s">
        <v>640</v>
      </c>
      <c r="N61" s="115" t="s">
        <v>4</v>
      </c>
      <c r="O61" s="11" t="s">
        <v>367</v>
      </c>
      <c r="P61" s="63" t="s">
        <v>641</v>
      </c>
      <c r="Q61" s="11" t="s">
        <v>10</v>
      </c>
      <c r="R61" s="11"/>
      <c r="S61" s="32"/>
      <c r="T61" s="32"/>
      <c r="U61" s="41"/>
      <c r="V61" s="15" t="s">
        <v>619</v>
      </c>
      <c r="W61" s="15"/>
      <c r="X61" s="24"/>
    </row>
    <row r="62" spans="1:24" ht="36" hidden="1">
      <c r="A62" s="40" t="s">
        <v>636</v>
      </c>
      <c r="B62" s="32">
        <v>45827</v>
      </c>
      <c r="C62" s="38" t="s">
        <v>409</v>
      </c>
      <c r="D62" s="23" t="s">
        <v>495</v>
      </c>
      <c r="E62" s="37" t="s">
        <v>503</v>
      </c>
      <c r="F62" s="24" t="s">
        <v>556</v>
      </c>
      <c r="G62" s="110" t="s">
        <v>14</v>
      </c>
      <c r="H62" s="11" t="s">
        <v>10</v>
      </c>
      <c r="I62" s="15" t="s">
        <v>664</v>
      </c>
      <c r="J62" s="64" t="s">
        <v>665</v>
      </c>
      <c r="K62" s="8" t="s">
        <v>666</v>
      </c>
      <c r="L62" s="64" t="s">
        <v>667</v>
      </c>
      <c r="M62" s="14" t="s">
        <v>655</v>
      </c>
      <c r="N62" s="115" t="s">
        <v>4</v>
      </c>
      <c r="O62" s="11" t="s">
        <v>367</v>
      </c>
      <c r="P62" s="63" t="s">
        <v>668</v>
      </c>
      <c r="Q62" s="11" t="s">
        <v>10</v>
      </c>
      <c r="R62" s="11"/>
      <c r="S62" s="32"/>
      <c r="T62" s="32"/>
      <c r="U62" s="41"/>
      <c r="V62" s="15" t="s">
        <v>619</v>
      </c>
      <c r="W62" s="15"/>
      <c r="X62" s="24"/>
    </row>
    <row r="63" spans="1:24" ht="36" hidden="1">
      <c r="A63" s="40" t="s">
        <v>636</v>
      </c>
      <c r="B63" s="32">
        <v>45827</v>
      </c>
      <c r="C63" s="38" t="s">
        <v>409</v>
      </c>
      <c r="D63" s="23" t="s">
        <v>495</v>
      </c>
      <c r="E63" s="37" t="s">
        <v>503</v>
      </c>
      <c r="F63" s="24" t="s">
        <v>556</v>
      </c>
      <c r="G63" s="110" t="s">
        <v>14</v>
      </c>
      <c r="H63" s="11" t="s">
        <v>10</v>
      </c>
      <c r="I63" s="15" t="s">
        <v>597</v>
      </c>
      <c r="J63" s="64" t="s">
        <v>652</v>
      </c>
      <c r="K63" s="8" t="s">
        <v>653</v>
      </c>
      <c r="L63" s="64" t="s">
        <v>654</v>
      </c>
      <c r="M63" s="14" t="s">
        <v>655</v>
      </c>
      <c r="N63" s="115" t="s">
        <v>4</v>
      </c>
      <c r="O63" s="11" t="s">
        <v>367</v>
      </c>
      <c r="P63" s="63" t="s">
        <v>656</v>
      </c>
      <c r="Q63" s="11" t="s">
        <v>10</v>
      </c>
      <c r="R63" s="11"/>
      <c r="S63" s="32"/>
      <c r="T63" s="32"/>
      <c r="U63" s="41"/>
      <c r="V63" s="15" t="s">
        <v>619</v>
      </c>
      <c r="W63" s="15"/>
      <c r="X63" s="24"/>
    </row>
    <row r="64" spans="1:24" ht="24" hidden="1">
      <c r="A64" s="40" t="s">
        <v>636</v>
      </c>
      <c r="B64" s="32">
        <v>45827</v>
      </c>
      <c r="C64" s="38" t="s">
        <v>409</v>
      </c>
      <c r="D64" s="23" t="s">
        <v>495</v>
      </c>
      <c r="E64" s="37" t="s">
        <v>503</v>
      </c>
      <c r="F64" s="24" t="s">
        <v>556</v>
      </c>
      <c r="G64" s="110" t="s">
        <v>14</v>
      </c>
      <c r="H64" s="11" t="s">
        <v>10</v>
      </c>
      <c r="I64" s="15" t="s">
        <v>422</v>
      </c>
      <c r="J64" s="64" t="s">
        <v>643</v>
      </c>
      <c r="K64" s="8" t="s">
        <v>538</v>
      </c>
      <c r="L64" s="64" t="s">
        <v>644</v>
      </c>
      <c r="M64" s="14" t="s">
        <v>645</v>
      </c>
      <c r="N64" s="115" t="s">
        <v>4</v>
      </c>
      <c r="O64" s="11" t="s">
        <v>367</v>
      </c>
      <c r="P64" s="63" t="s">
        <v>646</v>
      </c>
      <c r="Q64" s="11" t="s">
        <v>10</v>
      </c>
      <c r="R64" s="11"/>
      <c r="S64" s="32"/>
      <c r="T64" s="32"/>
      <c r="U64" s="41"/>
      <c r="V64" s="15" t="s">
        <v>619</v>
      </c>
      <c r="W64" s="15"/>
      <c r="X64" s="24"/>
    </row>
    <row r="65" spans="1:24" ht="36" hidden="1">
      <c r="A65" s="40" t="s">
        <v>636</v>
      </c>
      <c r="B65" s="32">
        <v>45827</v>
      </c>
      <c r="C65" s="38" t="s">
        <v>409</v>
      </c>
      <c r="D65" s="23" t="s">
        <v>495</v>
      </c>
      <c r="E65" s="37" t="s">
        <v>503</v>
      </c>
      <c r="F65" s="24" t="s">
        <v>556</v>
      </c>
      <c r="G65" s="110" t="s">
        <v>14</v>
      </c>
      <c r="H65" s="11" t="s">
        <v>10</v>
      </c>
      <c r="I65" s="15" t="s">
        <v>597</v>
      </c>
      <c r="J65" s="64" t="s">
        <v>652</v>
      </c>
      <c r="K65" s="8" t="s">
        <v>657</v>
      </c>
      <c r="L65" s="64" t="s">
        <v>658</v>
      </c>
      <c r="M65" s="14" t="s">
        <v>655</v>
      </c>
      <c r="N65" s="115" t="s">
        <v>4</v>
      </c>
      <c r="O65" s="11" t="s">
        <v>367</v>
      </c>
      <c r="P65" s="63" t="s">
        <v>659</v>
      </c>
      <c r="Q65" s="11" t="s">
        <v>10</v>
      </c>
      <c r="R65" s="11"/>
      <c r="S65" s="32"/>
      <c r="T65" s="32"/>
      <c r="U65" s="41"/>
      <c r="V65" s="15" t="s">
        <v>619</v>
      </c>
      <c r="W65" s="15"/>
      <c r="X65" s="24"/>
    </row>
    <row r="66" spans="1:24" ht="36" hidden="1">
      <c r="A66" s="40" t="s">
        <v>636</v>
      </c>
      <c r="B66" s="32">
        <v>45827</v>
      </c>
      <c r="C66" s="38" t="s">
        <v>409</v>
      </c>
      <c r="D66" s="23" t="s">
        <v>495</v>
      </c>
      <c r="E66" s="37" t="s">
        <v>503</v>
      </c>
      <c r="F66" s="24" t="s">
        <v>556</v>
      </c>
      <c r="G66" s="110" t="s">
        <v>14</v>
      </c>
      <c r="H66" s="11" t="s">
        <v>10</v>
      </c>
      <c r="I66" s="15" t="s">
        <v>597</v>
      </c>
      <c r="J66" s="64" t="s">
        <v>652</v>
      </c>
      <c r="K66" s="8" t="s">
        <v>660</v>
      </c>
      <c r="L66" s="64" t="s">
        <v>661</v>
      </c>
      <c r="M66" s="14" t="s">
        <v>662</v>
      </c>
      <c r="N66" s="115" t="s">
        <v>4</v>
      </c>
      <c r="O66" s="11" t="s">
        <v>367</v>
      </c>
      <c r="P66" s="63" t="s">
        <v>663</v>
      </c>
      <c r="Q66" s="11" t="s">
        <v>10</v>
      </c>
      <c r="R66" s="11"/>
      <c r="S66" s="32"/>
      <c r="T66" s="32"/>
      <c r="U66" s="41"/>
      <c r="V66" s="15" t="s">
        <v>619</v>
      </c>
      <c r="W66" s="15"/>
      <c r="X66" s="24"/>
    </row>
    <row r="67" spans="1:24" ht="24" hidden="1">
      <c r="B67" s="32">
        <v>45827</v>
      </c>
      <c r="C67" s="38" t="s">
        <v>410</v>
      </c>
      <c r="D67" s="23" t="s">
        <v>491</v>
      </c>
      <c r="E67" s="37" t="s">
        <v>503</v>
      </c>
      <c r="F67" s="24" t="s">
        <v>556</v>
      </c>
      <c r="G67" s="110" t="s">
        <v>14</v>
      </c>
      <c r="H67" s="11" t="s">
        <v>10</v>
      </c>
      <c r="I67" s="15" t="s">
        <v>423</v>
      </c>
      <c r="J67" s="64" t="s">
        <v>749</v>
      </c>
      <c r="K67" s="8" t="s">
        <v>754</v>
      </c>
      <c r="L67" s="64" t="s">
        <v>755</v>
      </c>
      <c r="M67" s="14" t="s">
        <v>752</v>
      </c>
      <c r="N67" s="115" t="s">
        <v>4</v>
      </c>
      <c r="O67" s="11" t="s">
        <v>367</v>
      </c>
      <c r="P67" s="68" t="s">
        <v>753</v>
      </c>
      <c r="Q67" s="11" t="s">
        <v>10</v>
      </c>
      <c r="R67" s="11"/>
      <c r="S67" s="32"/>
      <c r="T67" s="32"/>
      <c r="U67" s="41"/>
      <c r="V67" s="15" t="s">
        <v>351</v>
      </c>
      <c r="W67" s="15"/>
      <c r="X67" s="24"/>
    </row>
    <row r="68" spans="1:24" ht="24" hidden="1">
      <c r="B68" s="32">
        <v>45827</v>
      </c>
      <c r="C68" s="38" t="s">
        <v>410</v>
      </c>
      <c r="D68" s="23" t="s">
        <v>491</v>
      </c>
      <c r="E68" s="37" t="s">
        <v>503</v>
      </c>
      <c r="F68" s="24" t="s">
        <v>556</v>
      </c>
      <c r="G68" s="110" t="s">
        <v>14</v>
      </c>
      <c r="H68" s="11" t="s">
        <v>10</v>
      </c>
      <c r="I68" s="15" t="s">
        <v>423</v>
      </c>
      <c r="J68" s="64" t="s">
        <v>749</v>
      </c>
      <c r="K68" s="8" t="s">
        <v>750</v>
      </c>
      <c r="L68" s="64" t="s">
        <v>751</v>
      </c>
      <c r="M68" s="14" t="s">
        <v>752</v>
      </c>
      <c r="N68" s="115" t="s">
        <v>4</v>
      </c>
      <c r="O68" s="11" t="s">
        <v>367</v>
      </c>
      <c r="P68" s="68" t="s">
        <v>753</v>
      </c>
      <c r="Q68" s="11" t="s">
        <v>10</v>
      </c>
      <c r="R68" s="11"/>
      <c r="S68" s="32"/>
      <c r="T68" s="32"/>
      <c r="U68" s="41"/>
      <c r="V68" s="15" t="s">
        <v>351</v>
      </c>
      <c r="W68" s="15"/>
      <c r="X68" s="24"/>
    </row>
    <row r="69" spans="1:24" ht="24" hidden="1">
      <c r="B69" s="32">
        <v>45826</v>
      </c>
      <c r="C69" s="38" t="s">
        <v>410</v>
      </c>
      <c r="D69" s="23" t="s">
        <v>491</v>
      </c>
      <c r="E69" s="37" t="s">
        <v>503</v>
      </c>
      <c r="F69" s="24" t="s">
        <v>556</v>
      </c>
      <c r="G69" s="110" t="s">
        <v>14</v>
      </c>
      <c r="H69" s="11" t="s">
        <v>10</v>
      </c>
      <c r="I69" s="15" t="s">
        <v>422</v>
      </c>
      <c r="J69" s="64" t="s">
        <v>743</v>
      </c>
      <c r="K69" s="8" t="s">
        <v>744</v>
      </c>
      <c r="L69" s="64" t="s">
        <v>745</v>
      </c>
      <c r="M69" s="14" t="s">
        <v>4</v>
      </c>
      <c r="N69" s="115" t="s">
        <v>4</v>
      </c>
      <c r="O69" s="11" t="s">
        <v>367</v>
      </c>
      <c r="P69" s="68" t="s">
        <v>746</v>
      </c>
      <c r="Q69" s="11" t="s">
        <v>10</v>
      </c>
      <c r="R69" s="11"/>
      <c r="S69" s="32"/>
      <c r="T69" s="32"/>
      <c r="U69" s="41"/>
      <c r="V69" s="15" t="s">
        <v>351</v>
      </c>
      <c r="W69" s="15"/>
      <c r="X69" s="24"/>
    </row>
    <row r="70" spans="1:24" ht="24" hidden="1">
      <c r="B70" s="32">
        <v>45826</v>
      </c>
      <c r="C70" s="38" t="s">
        <v>410</v>
      </c>
      <c r="D70" s="23" t="s">
        <v>491</v>
      </c>
      <c r="E70" s="37" t="s">
        <v>503</v>
      </c>
      <c r="F70" s="24" t="s">
        <v>556</v>
      </c>
      <c r="G70" s="110" t="s">
        <v>14</v>
      </c>
      <c r="H70" s="11" t="s">
        <v>10</v>
      </c>
      <c r="I70" s="15" t="s">
        <v>422</v>
      </c>
      <c r="J70" s="64" t="s">
        <v>743</v>
      </c>
      <c r="K70" s="8" t="s">
        <v>747</v>
      </c>
      <c r="L70" s="64" t="s">
        <v>748</v>
      </c>
      <c r="M70" s="14" t="s">
        <v>4</v>
      </c>
      <c r="N70" s="115" t="s">
        <v>4</v>
      </c>
      <c r="O70" s="11" t="s">
        <v>367</v>
      </c>
      <c r="P70" s="68" t="s">
        <v>746</v>
      </c>
      <c r="Q70" s="11" t="s">
        <v>10</v>
      </c>
      <c r="R70" s="11"/>
      <c r="S70" s="32"/>
      <c r="T70" s="32"/>
      <c r="U70" s="41"/>
      <c r="V70" s="15" t="s">
        <v>351</v>
      </c>
      <c r="W70" s="15"/>
      <c r="X70" s="24"/>
    </row>
    <row r="71" spans="1:24" ht="24" hidden="1">
      <c r="B71" s="32">
        <v>45825</v>
      </c>
      <c r="C71" s="38" t="s">
        <v>410</v>
      </c>
      <c r="D71" s="23" t="s">
        <v>491</v>
      </c>
      <c r="E71" s="37" t="s">
        <v>503</v>
      </c>
      <c r="F71" s="24" t="s">
        <v>556</v>
      </c>
      <c r="G71" s="110" t="s">
        <v>14</v>
      </c>
      <c r="H71" s="11" t="s">
        <v>10</v>
      </c>
      <c r="I71" s="15" t="s">
        <v>420</v>
      </c>
      <c r="J71" s="64" t="s">
        <v>739</v>
      </c>
      <c r="K71" s="8" t="s">
        <v>739</v>
      </c>
      <c r="L71" s="64" t="s">
        <v>740</v>
      </c>
      <c r="M71" s="14" t="s">
        <v>4</v>
      </c>
      <c r="N71" s="115" t="s">
        <v>4</v>
      </c>
      <c r="O71" s="11" t="s">
        <v>367</v>
      </c>
      <c r="P71" s="68" t="s">
        <v>741</v>
      </c>
      <c r="Q71" s="11" t="s">
        <v>10</v>
      </c>
      <c r="R71" s="11"/>
      <c r="S71" s="32"/>
      <c r="T71" s="32"/>
      <c r="U71" s="41"/>
      <c r="V71" s="15" t="s">
        <v>351</v>
      </c>
      <c r="W71" s="15"/>
      <c r="X71" s="24"/>
    </row>
    <row r="72" spans="1:24" ht="24" hidden="1">
      <c r="B72" s="32">
        <v>45826</v>
      </c>
      <c r="C72" s="38" t="s">
        <v>410</v>
      </c>
      <c r="D72" s="23" t="s">
        <v>491</v>
      </c>
      <c r="E72" s="37" t="s">
        <v>503</v>
      </c>
      <c r="F72" s="24" t="s">
        <v>556</v>
      </c>
      <c r="G72" s="110" t="s">
        <v>14</v>
      </c>
      <c r="H72" s="11" t="s">
        <v>10</v>
      </c>
      <c r="I72" s="15" t="s">
        <v>420</v>
      </c>
      <c r="J72" s="64" t="s">
        <v>739</v>
      </c>
      <c r="K72" s="8" t="s">
        <v>739</v>
      </c>
      <c r="L72" s="64" t="s">
        <v>742</v>
      </c>
      <c r="M72" s="14" t="s">
        <v>4</v>
      </c>
      <c r="N72" s="115" t="s">
        <v>4</v>
      </c>
      <c r="O72" s="11" t="s">
        <v>367</v>
      </c>
      <c r="P72" s="68" t="s">
        <v>741</v>
      </c>
      <c r="Q72" s="11" t="s">
        <v>10</v>
      </c>
      <c r="R72" s="11"/>
      <c r="S72" s="32"/>
      <c r="T72" s="32"/>
      <c r="U72" s="41"/>
      <c r="V72" s="15" t="s">
        <v>351</v>
      </c>
      <c r="W72" s="15"/>
      <c r="X72" s="24"/>
    </row>
    <row r="73" spans="1:24" ht="36" hidden="1">
      <c r="B73" s="65">
        <v>45819</v>
      </c>
      <c r="C73" s="6" t="s">
        <v>409</v>
      </c>
      <c r="D73" s="66" t="s">
        <v>489</v>
      </c>
      <c r="E73" s="37" t="s">
        <v>503</v>
      </c>
      <c r="F73" s="24" t="s">
        <v>73</v>
      </c>
      <c r="G73" s="110" t="s">
        <v>14</v>
      </c>
      <c r="H73" s="11" t="s">
        <v>10</v>
      </c>
      <c r="I73" s="8" t="s">
        <v>504</v>
      </c>
      <c r="J73" s="64" t="s">
        <v>699</v>
      </c>
      <c r="K73" s="67" t="s">
        <v>704</v>
      </c>
      <c r="L73" s="67" t="s">
        <v>705</v>
      </c>
      <c r="M73" s="39" t="s">
        <v>706</v>
      </c>
      <c r="N73" s="67" t="s">
        <v>505</v>
      </c>
      <c r="O73" s="66" t="s">
        <v>507</v>
      </c>
      <c r="P73" s="67" t="s">
        <v>703</v>
      </c>
      <c r="Q73" s="11" t="s">
        <v>10</v>
      </c>
      <c r="R73" s="11"/>
      <c r="S73" s="32"/>
      <c r="T73" s="32"/>
      <c r="U73" s="41"/>
      <c r="V73" s="66" t="s">
        <v>681</v>
      </c>
      <c r="W73" s="15"/>
      <c r="X73" s="24"/>
    </row>
    <row r="74" spans="1:24" ht="36" hidden="1">
      <c r="B74" s="65">
        <v>45819</v>
      </c>
      <c r="C74" s="6" t="s">
        <v>409</v>
      </c>
      <c r="D74" s="66" t="s">
        <v>489</v>
      </c>
      <c r="E74" s="37" t="s">
        <v>503</v>
      </c>
      <c r="F74" s="24" t="s">
        <v>73</v>
      </c>
      <c r="G74" s="110" t="s">
        <v>14</v>
      </c>
      <c r="H74" s="11" t="s">
        <v>10</v>
      </c>
      <c r="I74" s="8" t="s">
        <v>504</v>
      </c>
      <c r="J74" s="64" t="s">
        <v>699</v>
      </c>
      <c r="K74" s="67" t="s">
        <v>700</v>
      </c>
      <c r="L74" s="67" t="s">
        <v>701</v>
      </c>
      <c r="M74" s="39" t="s">
        <v>702</v>
      </c>
      <c r="N74" s="67" t="s">
        <v>505</v>
      </c>
      <c r="O74" s="66" t="s">
        <v>507</v>
      </c>
      <c r="P74" s="67" t="s">
        <v>703</v>
      </c>
      <c r="Q74" s="11" t="s">
        <v>10</v>
      </c>
      <c r="R74" s="11"/>
      <c r="S74" s="32"/>
      <c r="T74" s="32"/>
      <c r="U74" s="41"/>
      <c r="V74" s="66" t="s">
        <v>681</v>
      </c>
      <c r="W74" s="15"/>
      <c r="X74" s="24"/>
    </row>
    <row r="75" spans="1:24" ht="36" hidden="1">
      <c r="B75" s="65">
        <v>45820</v>
      </c>
      <c r="C75" s="6" t="s">
        <v>409</v>
      </c>
      <c r="D75" s="66" t="s">
        <v>489</v>
      </c>
      <c r="E75" s="37" t="s">
        <v>503</v>
      </c>
      <c r="F75" s="24" t="s">
        <v>73</v>
      </c>
      <c r="G75" s="110" t="s">
        <v>14</v>
      </c>
      <c r="H75" s="11" t="s">
        <v>10</v>
      </c>
      <c r="I75" s="8" t="s">
        <v>509</v>
      </c>
      <c r="J75" s="64" t="s">
        <v>707</v>
      </c>
      <c r="K75" s="67" t="s">
        <v>708</v>
      </c>
      <c r="L75" s="67" t="s">
        <v>709</v>
      </c>
      <c r="M75" s="39" t="s">
        <v>601</v>
      </c>
      <c r="N75" s="67" t="s">
        <v>710</v>
      </c>
      <c r="O75" s="66" t="s">
        <v>507</v>
      </c>
      <c r="P75" s="67" t="s">
        <v>711</v>
      </c>
      <c r="Q75" s="11" t="s">
        <v>10</v>
      </c>
      <c r="R75" s="11"/>
      <c r="S75" s="32"/>
      <c r="T75" s="32"/>
      <c r="U75" s="41"/>
      <c r="V75" s="66" t="s">
        <v>681</v>
      </c>
      <c r="W75" s="15"/>
      <c r="X75" s="24"/>
    </row>
    <row r="76" spans="1:24">
      <c r="A76" s="40" t="s">
        <v>444</v>
      </c>
      <c r="B76" s="32">
        <v>45827</v>
      </c>
      <c r="C76" s="38" t="s">
        <v>409</v>
      </c>
      <c r="D76" s="35" t="s">
        <v>531</v>
      </c>
      <c r="E76" s="37" t="s">
        <v>503</v>
      </c>
      <c r="F76" s="24" t="s">
        <v>443</v>
      </c>
      <c r="G76" s="3" t="s">
        <v>76</v>
      </c>
      <c r="H76" s="11" t="s">
        <v>8</v>
      </c>
      <c r="I76" s="15" t="s">
        <v>4</v>
      </c>
      <c r="J76" s="8" t="s">
        <v>4</v>
      </c>
      <c r="K76" s="8" t="s">
        <v>477</v>
      </c>
      <c r="L76" s="8" t="s">
        <v>529</v>
      </c>
      <c r="M76" s="14" t="s">
        <v>4</v>
      </c>
      <c r="N76" s="115" t="s">
        <v>4</v>
      </c>
      <c r="O76" s="11" t="s">
        <v>367</v>
      </c>
      <c r="P76" s="36" t="s">
        <v>445</v>
      </c>
      <c r="Q76" s="11" t="s">
        <v>771</v>
      </c>
      <c r="R76" s="11"/>
      <c r="S76" s="32"/>
      <c r="T76" s="32"/>
      <c r="U76" s="41"/>
      <c r="V76" s="15" t="s">
        <v>430</v>
      </c>
      <c r="W76" s="15"/>
      <c r="X76" s="24"/>
    </row>
    <row r="77" spans="1:24">
      <c r="B77" s="32">
        <v>45827</v>
      </c>
      <c r="C77" s="38" t="s">
        <v>409</v>
      </c>
      <c r="D77" s="23" t="s">
        <v>543</v>
      </c>
      <c r="E77" s="37" t="s">
        <v>503</v>
      </c>
      <c r="F77" s="24" t="s">
        <v>75</v>
      </c>
      <c r="G77" s="3" t="s">
        <v>76</v>
      </c>
      <c r="H77" s="11" t="s">
        <v>8</v>
      </c>
      <c r="I77" s="15" t="s">
        <v>505</v>
      </c>
      <c r="J77" s="8" t="s">
        <v>505</v>
      </c>
      <c r="K77" s="8" t="s">
        <v>528</v>
      </c>
      <c r="L77" s="8" t="s">
        <v>529</v>
      </c>
      <c r="M77" s="14" t="s">
        <v>505</v>
      </c>
      <c r="N77" s="115" t="s">
        <v>505</v>
      </c>
      <c r="O77" s="11" t="s">
        <v>507</v>
      </c>
      <c r="P77" s="36" t="s">
        <v>445</v>
      </c>
      <c r="Q77" s="11" t="s">
        <v>8</v>
      </c>
      <c r="R77" s="11"/>
      <c r="S77" s="32"/>
      <c r="T77" s="32"/>
      <c r="U77" s="41"/>
      <c r="V77" s="15" t="s">
        <v>430</v>
      </c>
      <c r="W77" s="15"/>
      <c r="X77" s="24"/>
    </row>
    <row r="78" spans="1:24">
      <c r="A78" s="40" t="s">
        <v>444</v>
      </c>
      <c r="B78" s="32">
        <v>45820</v>
      </c>
      <c r="C78" s="38" t="s">
        <v>409</v>
      </c>
      <c r="D78" s="23" t="s">
        <v>485</v>
      </c>
      <c r="E78" s="37" t="s">
        <v>503</v>
      </c>
      <c r="F78" s="24" t="s">
        <v>443</v>
      </c>
      <c r="G78" s="3" t="s">
        <v>76</v>
      </c>
      <c r="H78" s="11" t="s">
        <v>8</v>
      </c>
      <c r="I78" s="15" t="s">
        <v>4</v>
      </c>
      <c r="J78" s="8" t="s">
        <v>4</v>
      </c>
      <c r="K78" s="8" t="s">
        <v>477</v>
      </c>
      <c r="L78" s="8" t="s">
        <v>476</v>
      </c>
      <c r="M78" s="14" t="s">
        <v>4</v>
      </c>
      <c r="N78" s="115" t="s">
        <v>4</v>
      </c>
      <c r="O78" s="11" t="s">
        <v>367</v>
      </c>
      <c r="P78" s="36" t="s">
        <v>445</v>
      </c>
      <c r="Q78" s="11" t="s">
        <v>8</v>
      </c>
      <c r="R78" s="11"/>
      <c r="S78" s="32"/>
      <c r="T78" s="32"/>
      <c r="U78" s="41"/>
      <c r="V78" s="15" t="s">
        <v>430</v>
      </c>
      <c r="W78" s="15"/>
      <c r="X78" s="24"/>
    </row>
    <row r="79" spans="1:24">
      <c r="B79" s="32">
        <v>45825</v>
      </c>
      <c r="C79" s="38" t="s">
        <v>410</v>
      </c>
      <c r="D79" s="23" t="s">
        <v>491</v>
      </c>
      <c r="E79" s="37" t="s">
        <v>503</v>
      </c>
      <c r="F79" s="24" t="s">
        <v>443</v>
      </c>
      <c r="G79" s="3" t="s">
        <v>76</v>
      </c>
      <c r="H79" s="11" t="s">
        <v>8</v>
      </c>
      <c r="I79" s="15" t="s">
        <v>4</v>
      </c>
      <c r="J79" s="8" t="s">
        <v>4</v>
      </c>
      <c r="K79" s="8" t="s">
        <v>756</v>
      </c>
      <c r="L79" s="8" t="s">
        <v>714</v>
      </c>
      <c r="M79" s="14" t="s">
        <v>4</v>
      </c>
      <c r="N79" s="115" t="s">
        <v>4</v>
      </c>
      <c r="O79" s="11" t="s">
        <v>367</v>
      </c>
      <c r="P79" s="36" t="s">
        <v>445</v>
      </c>
      <c r="Q79" s="11" t="s">
        <v>8</v>
      </c>
      <c r="R79" s="11"/>
      <c r="S79" s="32"/>
      <c r="T79" s="32"/>
      <c r="U79" s="41"/>
      <c r="V79" s="15" t="s">
        <v>351</v>
      </c>
      <c r="W79" s="15"/>
      <c r="X79" s="24"/>
    </row>
    <row r="80" spans="1:24">
      <c r="B80" s="65">
        <v>45827</v>
      </c>
      <c r="C80" s="6" t="s">
        <v>409</v>
      </c>
      <c r="D80" s="66" t="s">
        <v>489</v>
      </c>
      <c r="E80" s="37" t="s">
        <v>503</v>
      </c>
      <c r="F80" s="24" t="s">
        <v>75</v>
      </c>
      <c r="G80" s="3" t="s">
        <v>76</v>
      </c>
      <c r="H80" s="11" t="s">
        <v>8</v>
      </c>
      <c r="I80" s="8" t="s">
        <v>505</v>
      </c>
      <c r="J80" s="8" t="s">
        <v>505</v>
      </c>
      <c r="K80" s="39" t="s">
        <v>528</v>
      </c>
      <c r="L80" s="39" t="s">
        <v>712</v>
      </c>
      <c r="M80" s="39" t="s">
        <v>505</v>
      </c>
      <c r="N80" s="67" t="s">
        <v>505</v>
      </c>
      <c r="O80" s="66" t="s">
        <v>507</v>
      </c>
      <c r="P80" s="39" t="s">
        <v>445</v>
      </c>
      <c r="Q80" s="11" t="s">
        <v>8</v>
      </c>
      <c r="R80" s="11"/>
      <c r="S80" s="32"/>
      <c r="T80" s="32"/>
      <c r="U80" s="41"/>
      <c r="V80" s="66" t="s">
        <v>681</v>
      </c>
      <c r="W80" s="15"/>
      <c r="X80" s="24"/>
    </row>
    <row r="81" spans="1:24">
      <c r="B81" s="46">
        <v>45824</v>
      </c>
      <c r="C81" s="39" t="s">
        <v>409</v>
      </c>
      <c r="D81" s="72" t="s">
        <v>493</v>
      </c>
      <c r="E81" s="75" t="s">
        <v>503</v>
      </c>
      <c r="F81" s="24" t="s">
        <v>78</v>
      </c>
      <c r="G81" s="78" t="s">
        <v>79</v>
      </c>
      <c r="H81" s="72" t="s">
        <v>8</v>
      </c>
      <c r="I81" s="79" t="s">
        <v>505</v>
      </c>
      <c r="J81" s="79" t="s">
        <v>505</v>
      </c>
      <c r="K81" s="85" t="s">
        <v>528</v>
      </c>
      <c r="L81" s="85" t="s">
        <v>610</v>
      </c>
      <c r="M81" s="79" t="s">
        <v>505</v>
      </c>
      <c r="N81" s="116" t="s">
        <v>505</v>
      </c>
      <c r="O81" s="39"/>
      <c r="P81" s="39" t="s">
        <v>611</v>
      </c>
      <c r="Q81" s="72" t="s">
        <v>8</v>
      </c>
      <c r="R81" s="48" t="s">
        <v>566</v>
      </c>
      <c r="S81" s="48" t="s">
        <v>566</v>
      </c>
      <c r="T81" s="48" t="s">
        <v>566</v>
      </c>
      <c r="U81" s="49" t="s">
        <v>566</v>
      </c>
      <c r="V81" s="24" t="s">
        <v>567</v>
      </c>
      <c r="W81" s="48" t="s">
        <v>566</v>
      </c>
      <c r="X81" s="24"/>
    </row>
    <row r="82" spans="1:24">
      <c r="A82" s="40" t="s">
        <v>479</v>
      </c>
      <c r="B82" s="32">
        <v>45825</v>
      </c>
      <c r="C82" s="38" t="s">
        <v>409</v>
      </c>
      <c r="D82" s="35" t="s">
        <v>531</v>
      </c>
      <c r="E82" s="37" t="s">
        <v>503</v>
      </c>
      <c r="F82" s="24" t="s">
        <v>478</v>
      </c>
      <c r="G82" s="3" t="s">
        <v>79</v>
      </c>
      <c r="H82" s="11" t="s">
        <v>8</v>
      </c>
      <c r="I82" s="15" t="s">
        <v>4</v>
      </c>
      <c r="J82" s="8" t="s">
        <v>4</v>
      </c>
      <c r="K82" s="8" t="s">
        <v>477</v>
      </c>
      <c r="L82" s="8" t="s">
        <v>529</v>
      </c>
      <c r="M82" s="14" t="s">
        <v>4</v>
      </c>
      <c r="N82" s="115" t="s">
        <v>4</v>
      </c>
      <c r="O82" s="11" t="s">
        <v>367</v>
      </c>
      <c r="P82" s="36" t="s">
        <v>480</v>
      </c>
      <c r="Q82" s="11" t="s">
        <v>8</v>
      </c>
      <c r="R82" s="11"/>
      <c r="S82" s="32"/>
      <c r="T82" s="32"/>
      <c r="U82" s="41"/>
      <c r="V82" s="15" t="s">
        <v>430</v>
      </c>
      <c r="W82" s="15"/>
      <c r="X82" s="24"/>
    </row>
    <row r="83" spans="1:24">
      <c r="B83" s="32">
        <v>45827</v>
      </c>
      <c r="C83" s="38" t="s">
        <v>409</v>
      </c>
      <c r="D83" s="23" t="s">
        <v>543</v>
      </c>
      <c r="E83" s="37" t="s">
        <v>503</v>
      </c>
      <c r="F83" s="24" t="s">
        <v>78</v>
      </c>
      <c r="G83" s="3" t="s">
        <v>79</v>
      </c>
      <c r="H83" s="11" t="s">
        <v>8</v>
      </c>
      <c r="I83" s="15" t="s">
        <v>505</v>
      </c>
      <c r="J83" s="8" t="s">
        <v>505</v>
      </c>
      <c r="K83" s="8" t="s">
        <v>528</v>
      </c>
      <c r="L83" s="8" t="s">
        <v>529</v>
      </c>
      <c r="M83" s="14" t="s">
        <v>505</v>
      </c>
      <c r="N83" s="115" t="s">
        <v>505</v>
      </c>
      <c r="O83" s="11" t="s">
        <v>507</v>
      </c>
      <c r="P83" s="36" t="s">
        <v>480</v>
      </c>
      <c r="Q83" s="11" t="s">
        <v>8</v>
      </c>
      <c r="R83" s="11"/>
      <c r="S83" s="32"/>
      <c r="T83" s="32"/>
      <c r="U83" s="41"/>
      <c r="V83" s="15" t="s">
        <v>430</v>
      </c>
      <c r="W83" s="15"/>
      <c r="X83" s="24"/>
    </row>
    <row r="84" spans="1:24">
      <c r="A84" s="40" t="s">
        <v>669</v>
      </c>
      <c r="B84" s="32">
        <v>45827</v>
      </c>
      <c r="C84" s="38" t="s">
        <v>409</v>
      </c>
      <c r="D84" s="23" t="s">
        <v>495</v>
      </c>
      <c r="E84" s="37" t="s">
        <v>503</v>
      </c>
      <c r="F84" s="24" t="s">
        <v>478</v>
      </c>
      <c r="G84" s="3" t="s">
        <v>79</v>
      </c>
      <c r="H84" s="11" t="s">
        <v>8</v>
      </c>
      <c r="I84" s="15" t="s">
        <v>4</v>
      </c>
      <c r="J84" s="8" t="s">
        <v>4</v>
      </c>
      <c r="K84" s="8" t="s">
        <v>477</v>
      </c>
      <c r="L84" s="8" t="s">
        <v>670</v>
      </c>
      <c r="M84" s="14" t="s">
        <v>4</v>
      </c>
      <c r="N84" s="115" t="s">
        <v>4</v>
      </c>
      <c r="O84" s="11" t="s">
        <v>367</v>
      </c>
      <c r="P84" s="36" t="s">
        <v>671</v>
      </c>
      <c r="Q84" s="11" t="s">
        <v>8</v>
      </c>
      <c r="R84" s="11"/>
      <c r="S84" s="32"/>
      <c r="T84" s="32"/>
      <c r="U84" s="41"/>
      <c r="V84" s="15" t="s">
        <v>619</v>
      </c>
      <c r="W84" s="15"/>
      <c r="X84" s="24"/>
    </row>
    <row r="85" spans="1:24">
      <c r="A85" s="40" t="s">
        <v>479</v>
      </c>
      <c r="B85" s="32">
        <v>45824</v>
      </c>
      <c r="C85" s="38" t="s">
        <v>409</v>
      </c>
      <c r="D85" s="23" t="s">
        <v>485</v>
      </c>
      <c r="E85" s="37" t="s">
        <v>503</v>
      </c>
      <c r="F85" s="24" t="s">
        <v>478</v>
      </c>
      <c r="G85" s="3" t="s">
        <v>79</v>
      </c>
      <c r="H85" s="11" t="s">
        <v>8</v>
      </c>
      <c r="I85" s="15" t="s">
        <v>4</v>
      </c>
      <c r="J85" s="8" t="s">
        <v>4</v>
      </c>
      <c r="K85" s="8" t="s">
        <v>477</v>
      </c>
      <c r="L85" s="8" t="s">
        <v>476</v>
      </c>
      <c r="M85" s="14" t="s">
        <v>4</v>
      </c>
      <c r="N85" s="115" t="s">
        <v>4</v>
      </c>
      <c r="O85" s="11" t="s">
        <v>367</v>
      </c>
      <c r="P85" s="36" t="s">
        <v>480</v>
      </c>
      <c r="Q85" s="11" t="s">
        <v>8</v>
      </c>
      <c r="R85" s="11"/>
      <c r="S85" s="32"/>
      <c r="T85" s="32"/>
      <c r="U85" s="41"/>
      <c r="V85" s="15" t="s">
        <v>430</v>
      </c>
      <c r="W85" s="15"/>
      <c r="X85" s="24"/>
    </row>
    <row r="86" spans="1:24">
      <c r="B86" s="32">
        <v>45825</v>
      </c>
      <c r="C86" s="38" t="s">
        <v>410</v>
      </c>
      <c r="D86" s="23" t="s">
        <v>491</v>
      </c>
      <c r="E86" s="37" t="s">
        <v>503</v>
      </c>
      <c r="F86" s="24" t="s">
        <v>478</v>
      </c>
      <c r="G86" s="3" t="s">
        <v>79</v>
      </c>
      <c r="H86" s="11" t="s">
        <v>8</v>
      </c>
      <c r="I86" s="15" t="s">
        <v>4</v>
      </c>
      <c r="J86" s="8" t="s">
        <v>4</v>
      </c>
      <c r="K86" s="8" t="s">
        <v>756</v>
      </c>
      <c r="L86" s="8" t="s">
        <v>714</v>
      </c>
      <c r="M86" s="14" t="s">
        <v>4</v>
      </c>
      <c r="N86" s="115" t="s">
        <v>4</v>
      </c>
      <c r="O86" s="11" t="s">
        <v>367</v>
      </c>
      <c r="P86" s="36" t="s">
        <v>480</v>
      </c>
      <c r="Q86" s="11" t="s">
        <v>8</v>
      </c>
      <c r="R86" s="11"/>
      <c r="S86" s="32"/>
      <c r="T86" s="32"/>
      <c r="U86" s="41"/>
      <c r="V86" s="15" t="s">
        <v>351</v>
      </c>
      <c r="W86" s="15"/>
      <c r="X86" s="24"/>
    </row>
    <row r="87" spans="1:24" ht="24" hidden="1">
      <c r="B87" s="32">
        <v>45827</v>
      </c>
      <c r="C87" s="38" t="s">
        <v>410</v>
      </c>
      <c r="D87" s="23" t="s">
        <v>491</v>
      </c>
      <c r="E87" s="37" t="s">
        <v>503</v>
      </c>
      <c r="F87" s="24" t="s">
        <v>757</v>
      </c>
      <c r="G87" s="110" t="s">
        <v>82</v>
      </c>
      <c r="H87" s="11" t="s">
        <v>10</v>
      </c>
      <c r="I87" s="15" t="s">
        <v>4</v>
      </c>
      <c r="J87" s="64" t="s">
        <v>4</v>
      </c>
      <c r="K87" s="8" t="s">
        <v>758</v>
      </c>
      <c r="L87" s="64" t="s">
        <v>759</v>
      </c>
      <c r="M87" s="14" t="s">
        <v>4</v>
      </c>
      <c r="N87" s="115" t="s">
        <v>4</v>
      </c>
      <c r="O87" s="11" t="s">
        <v>367</v>
      </c>
      <c r="P87" s="68" t="s">
        <v>760</v>
      </c>
      <c r="Q87" s="11" t="s">
        <v>10</v>
      </c>
      <c r="R87" s="11"/>
      <c r="S87" s="32"/>
      <c r="T87" s="32"/>
      <c r="U87" s="41"/>
      <c r="V87" s="15" t="s">
        <v>351</v>
      </c>
      <c r="W87" s="15"/>
      <c r="X87" s="24"/>
    </row>
    <row r="88" spans="1:24">
      <c r="A88" s="40" t="s">
        <v>460</v>
      </c>
      <c r="B88" s="32">
        <v>45821</v>
      </c>
      <c r="C88" s="38" t="s">
        <v>409</v>
      </c>
      <c r="D88" s="23" t="s">
        <v>485</v>
      </c>
      <c r="E88" s="37" t="s">
        <v>503</v>
      </c>
      <c r="F88" s="24" t="s">
        <v>459</v>
      </c>
      <c r="G88" s="3" t="s">
        <v>90</v>
      </c>
      <c r="H88" s="11" t="s">
        <v>8</v>
      </c>
      <c r="I88" s="15" t="s">
        <v>4</v>
      </c>
      <c r="J88" s="8" t="s">
        <v>4</v>
      </c>
      <c r="K88" s="8" t="s">
        <v>4</v>
      </c>
      <c r="L88" s="8" t="s">
        <v>461</v>
      </c>
      <c r="M88" s="14" t="s">
        <v>4</v>
      </c>
      <c r="N88" s="115" t="s">
        <v>4</v>
      </c>
      <c r="O88" s="11" t="s">
        <v>367</v>
      </c>
      <c r="P88" s="36" t="s">
        <v>462</v>
      </c>
      <c r="Q88" s="11" t="s">
        <v>8</v>
      </c>
      <c r="R88" s="11"/>
      <c r="S88" s="32"/>
      <c r="T88" s="32"/>
      <c r="U88" s="41"/>
      <c r="V88" s="15" t="s">
        <v>430</v>
      </c>
      <c r="W88" s="15"/>
      <c r="X88" s="24"/>
    </row>
    <row r="89" spans="1:24">
      <c r="B89" s="46">
        <v>45824</v>
      </c>
      <c r="C89" s="39" t="s">
        <v>409</v>
      </c>
      <c r="D89" s="72" t="s">
        <v>493</v>
      </c>
      <c r="E89" s="75" t="s">
        <v>503</v>
      </c>
      <c r="F89" s="24" t="s">
        <v>612</v>
      </c>
      <c r="G89" s="78" t="s">
        <v>613</v>
      </c>
      <c r="H89" s="72" t="s">
        <v>8</v>
      </c>
      <c r="I89" s="79" t="s">
        <v>505</v>
      </c>
      <c r="J89" s="79" t="s">
        <v>505</v>
      </c>
      <c r="K89" s="85" t="s">
        <v>575</v>
      </c>
      <c r="L89" s="85" t="s">
        <v>576</v>
      </c>
      <c r="M89" s="79" t="s">
        <v>505</v>
      </c>
      <c r="N89" s="116" t="s">
        <v>505</v>
      </c>
      <c r="O89" s="39"/>
      <c r="P89" s="39" t="s">
        <v>614</v>
      </c>
      <c r="Q89" s="72" t="s">
        <v>8</v>
      </c>
      <c r="R89" s="48" t="s">
        <v>566</v>
      </c>
      <c r="S89" s="48" t="s">
        <v>566</v>
      </c>
      <c r="T89" s="48" t="s">
        <v>566</v>
      </c>
      <c r="U89" s="49" t="s">
        <v>566</v>
      </c>
      <c r="V89" s="24" t="s">
        <v>567</v>
      </c>
      <c r="W89" s="48" t="s">
        <v>566</v>
      </c>
      <c r="X89" s="24"/>
    </row>
    <row r="90" spans="1:24">
      <c r="A90" s="40" t="s">
        <v>674</v>
      </c>
      <c r="B90" s="32">
        <v>45827</v>
      </c>
      <c r="C90" s="38" t="s">
        <v>409</v>
      </c>
      <c r="D90" s="23" t="s">
        <v>495</v>
      </c>
      <c r="E90" s="37" t="s">
        <v>503</v>
      </c>
      <c r="F90" s="24" t="s">
        <v>374</v>
      </c>
      <c r="G90" s="3" t="s">
        <v>613</v>
      </c>
      <c r="H90" s="11" t="s">
        <v>8</v>
      </c>
      <c r="I90" s="15" t="s">
        <v>4</v>
      </c>
      <c r="J90" s="8" t="s">
        <v>4</v>
      </c>
      <c r="K90" s="8" t="s">
        <v>628</v>
      </c>
      <c r="L90" s="8" t="s">
        <v>629</v>
      </c>
      <c r="M90" s="14" t="s">
        <v>4</v>
      </c>
      <c r="N90" s="115" t="s">
        <v>4</v>
      </c>
      <c r="O90" s="11" t="s">
        <v>367</v>
      </c>
      <c r="P90" s="36" t="s">
        <v>675</v>
      </c>
      <c r="Q90" s="11" t="s">
        <v>8</v>
      </c>
      <c r="R90" s="11"/>
      <c r="S90" s="32"/>
      <c r="T90" s="32"/>
      <c r="U90" s="41"/>
      <c r="V90" s="15" t="s">
        <v>619</v>
      </c>
      <c r="W90" s="15"/>
      <c r="X90" s="24"/>
    </row>
    <row r="91" spans="1:24">
      <c r="B91" s="46">
        <v>45821</v>
      </c>
      <c r="C91" s="39" t="s">
        <v>409</v>
      </c>
      <c r="D91" s="72" t="s">
        <v>493</v>
      </c>
      <c r="E91" s="75" t="s">
        <v>503</v>
      </c>
      <c r="F91" s="24" t="s">
        <v>106</v>
      </c>
      <c r="G91" s="78" t="s">
        <v>11</v>
      </c>
      <c r="H91" s="72" t="s">
        <v>8</v>
      </c>
      <c r="I91" s="79" t="s">
        <v>505</v>
      </c>
      <c r="J91" s="79" t="s">
        <v>505</v>
      </c>
      <c r="K91" s="85" t="s">
        <v>530</v>
      </c>
      <c r="L91" s="85" t="s">
        <v>564</v>
      </c>
      <c r="M91" s="79" t="s">
        <v>505</v>
      </c>
      <c r="N91" s="116" t="s">
        <v>505</v>
      </c>
      <c r="O91" s="39"/>
      <c r="P91" s="39" t="s">
        <v>391</v>
      </c>
      <c r="Q91" s="72" t="s">
        <v>8</v>
      </c>
      <c r="R91" s="48" t="s">
        <v>566</v>
      </c>
      <c r="S91" s="48" t="s">
        <v>566</v>
      </c>
      <c r="T91" s="48" t="s">
        <v>566</v>
      </c>
      <c r="U91" s="49" t="s">
        <v>566</v>
      </c>
      <c r="V91" s="24" t="s">
        <v>567</v>
      </c>
      <c r="W91" s="48" t="s">
        <v>566</v>
      </c>
      <c r="X91" s="24"/>
    </row>
    <row r="92" spans="1:24">
      <c r="A92" s="40" t="s">
        <v>413</v>
      </c>
      <c r="B92" s="32">
        <v>45825</v>
      </c>
      <c r="C92" s="38" t="s">
        <v>409</v>
      </c>
      <c r="D92" s="35" t="s">
        <v>531</v>
      </c>
      <c r="E92" s="37" t="s">
        <v>503</v>
      </c>
      <c r="F92" s="24" t="s">
        <v>412</v>
      </c>
      <c r="G92" s="3" t="s">
        <v>11</v>
      </c>
      <c r="H92" s="11" t="s">
        <v>8</v>
      </c>
      <c r="I92" s="15" t="s">
        <v>505</v>
      </c>
      <c r="J92" s="8" t="s">
        <v>505</v>
      </c>
      <c r="K92" s="8" t="s">
        <v>530</v>
      </c>
      <c r="L92" s="8" t="s">
        <v>541</v>
      </c>
      <c r="M92" s="14" t="s">
        <v>505</v>
      </c>
      <c r="N92" s="115" t="s">
        <v>505</v>
      </c>
      <c r="O92" s="11" t="s">
        <v>507</v>
      </c>
      <c r="P92" s="36" t="s">
        <v>391</v>
      </c>
      <c r="Q92" s="11" t="s">
        <v>8</v>
      </c>
      <c r="R92" s="11"/>
      <c r="S92" s="32"/>
      <c r="T92" s="32"/>
      <c r="U92" s="41"/>
      <c r="V92" s="15" t="s">
        <v>430</v>
      </c>
      <c r="W92" s="15"/>
      <c r="X92" s="24"/>
    </row>
    <row r="93" spans="1:24">
      <c r="A93" s="40" t="s">
        <v>562</v>
      </c>
      <c r="B93" s="32">
        <v>45820</v>
      </c>
      <c r="C93" s="38" t="s">
        <v>409</v>
      </c>
      <c r="D93" s="23" t="s">
        <v>543</v>
      </c>
      <c r="E93" s="37" t="s">
        <v>503</v>
      </c>
      <c r="F93" s="24" t="s">
        <v>412</v>
      </c>
      <c r="G93" s="3" t="s">
        <v>11</v>
      </c>
      <c r="H93" s="11" t="s">
        <v>8</v>
      </c>
      <c r="I93" s="15" t="s">
        <v>4</v>
      </c>
      <c r="J93" s="8" t="s">
        <v>4</v>
      </c>
      <c r="K93" s="8" t="s">
        <v>416</v>
      </c>
      <c r="L93" s="8" t="s">
        <v>541</v>
      </c>
      <c r="M93" s="14" t="s">
        <v>4</v>
      </c>
      <c r="N93" s="115" t="s">
        <v>4</v>
      </c>
      <c r="O93" s="11" t="s">
        <v>367</v>
      </c>
      <c r="P93" s="36" t="s">
        <v>391</v>
      </c>
      <c r="Q93" s="11" t="s">
        <v>8</v>
      </c>
      <c r="R93" s="11"/>
      <c r="S93" s="32"/>
      <c r="T93" s="32"/>
      <c r="U93" s="41"/>
      <c r="V93" s="15" t="s">
        <v>430</v>
      </c>
      <c r="W93" s="15"/>
      <c r="X93" s="24"/>
    </row>
    <row r="94" spans="1:24">
      <c r="A94" s="40" t="s">
        <v>593</v>
      </c>
      <c r="B94" s="32">
        <v>45827</v>
      </c>
      <c r="C94" s="38" t="s">
        <v>409</v>
      </c>
      <c r="D94" s="23" t="s">
        <v>495</v>
      </c>
      <c r="E94" s="37" t="s">
        <v>503</v>
      </c>
      <c r="F94" s="24" t="s">
        <v>412</v>
      </c>
      <c r="G94" s="3" t="s">
        <v>11</v>
      </c>
      <c r="H94" s="11" t="s">
        <v>8</v>
      </c>
      <c r="I94" s="15" t="s">
        <v>4</v>
      </c>
      <c r="J94" s="8" t="s">
        <v>4</v>
      </c>
      <c r="K94" s="8" t="s">
        <v>416</v>
      </c>
      <c r="L94" s="8" t="s">
        <v>617</v>
      </c>
      <c r="M94" s="14" t="s">
        <v>4</v>
      </c>
      <c r="N94" s="115" t="s">
        <v>4</v>
      </c>
      <c r="O94" s="11" t="s">
        <v>367</v>
      </c>
      <c r="P94" s="36" t="s">
        <v>391</v>
      </c>
      <c r="Q94" s="11" t="s">
        <v>8</v>
      </c>
      <c r="R94" s="11"/>
      <c r="S94" s="32"/>
      <c r="T94" s="32"/>
      <c r="U94" s="41"/>
      <c r="V94" s="15" t="s">
        <v>619</v>
      </c>
      <c r="W94" s="15"/>
      <c r="X94" s="24"/>
    </row>
    <row r="95" spans="1:24">
      <c r="A95" s="40" t="s">
        <v>413</v>
      </c>
      <c r="B95" s="32">
        <v>45820</v>
      </c>
      <c r="C95" s="38" t="s">
        <v>409</v>
      </c>
      <c r="D95" s="23" t="s">
        <v>485</v>
      </c>
      <c r="E95" s="37" t="s">
        <v>503</v>
      </c>
      <c r="F95" s="24" t="s">
        <v>412</v>
      </c>
      <c r="G95" s="3" t="s">
        <v>11</v>
      </c>
      <c r="H95" s="11" t="s">
        <v>8</v>
      </c>
      <c r="I95" s="15" t="s">
        <v>4</v>
      </c>
      <c r="J95" s="8" t="s">
        <v>4</v>
      </c>
      <c r="K95" s="8" t="s">
        <v>416</v>
      </c>
      <c r="L95" s="8" t="s">
        <v>461</v>
      </c>
      <c r="M95" s="14" t="s">
        <v>4</v>
      </c>
      <c r="N95" s="115" t="s">
        <v>4</v>
      </c>
      <c r="O95" s="11" t="s">
        <v>367</v>
      </c>
      <c r="P95" s="36" t="s">
        <v>391</v>
      </c>
      <c r="Q95" s="11" t="s">
        <v>8</v>
      </c>
      <c r="R95" s="11"/>
      <c r="S95" s="32"/>
      <c r="T95" s="32"/>
      <c r="U95" s="41"/>
      <c r="V95" s="15" t="s">
        <v>430</v>
      </c>
      <c r="W95" s="15"/>
      <c r="X95" s="24"/>
    </row>
    <row r="96" spans="1:24">
      <c r="B96" s="32">
        <v>45825</v>
      </c>
      <c r="C96" s="38" t="s">
        <v>410</v>
      </c>
      <c r="D96" s="23" t="s">
        <v>491</v>
      </c>
      <c r="E96" s="37" t="s">
        <v>503</v>
      </c>
      <c r="F96" s="24" t="s">
        <v>412</v>
      </c>
      <c r="G96" s="3" t="s">
        <v>11</v>
      </c>
      <c r="H96" s="11" t="s">
        <v>8</v>
      </c>
      <c r="I96" s="15" t="s">
        <v>4</v>
      </c>
      <c r="J96" s="8" t="s">
        <v>4</v>
      </c>
      <c r="K96" s="8" t="s">
        <v>416</v>
      </c>
      <c r="L96" s="8" t="s">
        <v>714</v>
      </c>
      <c r="M96" s="14" t="s">
        <v>4</v>
      </c>
      <c r="N96" s="115" t="s">
        <v>4</v>
      </c>
      <c r="O96" s="11" t="s">
        <v>367</v>
      </c>
      <c r="P96" s="36" t="s">
        <v>391</v>
      </c>
      <c r="Q96" s="11" t="s">
        <v>8</v>
      </c>
      <c r="R96" s="11"/>
      <c r="S96" s="32"/>
      <c r="T96" s="32"/>
      <c r="U96" s="41"/>
      <c r="V96" s="15" t="s">
        <v>351</v>
      </c>
      <c r="W96" s="15"/>
      <c r="X96" s="24"/>
    </row>
    <row r="97" spans="1:24">
      <c r="B97" s="65">
        <v>45819</v>
      </c>
      <c r="C97" s="6" t="s">
        <v>409</v>
      </c>
      <c r="D97" s="66" t="s">
        <v>489</v>
      </c>
      <c r="E97" s="37" t="s">
        <v>503</v>
      </c>
      <c r="F97" s="24" t="s">
        <v>106</v>
      </c>
      <c r="G97" s="3" t="s">
        <v>11</v>
      </c>
      <c r="H97" s="11" t="s">
        <v>8</v>
      </c>
      <c r="I97" s="8" t="s">
        <v>505</v>
      </c>
      <c r="J97" s="8" t="s">
        <v>505</v>
      </c>
      <c r="K97" s="39" t="s">
        <v>530</v>
      </c>
      <c r="L97" s="39" t="s">
        <v>679</v>
      </c>
      <c r="M97" s="39" t="s">
        <v>505</v>
      </c>
      <c r="N97" s="67" t="s">
        <v>505</v>
      </c>
      <c r="O97" s="66" t="s">
        <v>507</v>
      </c>
      <c r="P97" s="39" t="s">
        <v>391</v>
      </c>
      <c r="Q97" s="11" t="s">
        <v>8</v>
      </c>
      <c r="R97" s="11"/>
      <c r="S97" s="32"/>
      <c r="T97" s="32"/>
      <c r="U97" s="41"/>
      <c r="V97" s="66" t="s">
        <v>681</v>
      </c>
      <c r="W97" s="15"/>
      <c r="X97" s="24"/>
    </row>
    <row r="98" spans="1:24" ht="24" hidden="1">
      <c r="B98" s="32">
        <v>45826</v>
      </c>
      <c r="C98" s="38" t="s">
        <v>410</v>
      </c>
      <c r="D98" s="23" t="s">
        <v>491</v>
      </c>
      <c r="E98" s="37" t="s">
        <v>503</v>
      </c>
      <c r="F98" s="24" t="s">
        <v>762</v>
      </c>
      <c r="G98" s="110" t="s">
        <v>157</v>
      </c>
      <c r="H98" s="11" t="s">
        <v>10</v>
      </c>
      <c r="I98" s="15" t="s">
        <v>4</v>
      </c>
      <c r="J98" s="64" t="s">
        <v>4</v>
      </c>
      <c r="K98" s="8" t="s">
        <v>477</v>
      </c>
      <c r="L98" s="64" t="s">
        <v>761</v>
      </c>
      <c r="M98" s="14" t="s">
        <v>4</v>
      </c>
      <c r="N98" s="115" t="s">
        <v>4</v>
      </c>
      <c r="O98" s="11" t="s">
        <v>367</v>
      </c>
      <c r="P98" s="68" t="s">
        <v>763</v>
      </c>
      <c r="Q98" s="11" t="s">
        <v>10</v>
      </c>
      <c r="R98" s="11"/>
      <c r="S98" s="32"/>
      <c r="T98" s="32"/>
      <c r="U98" s="41"/>
      <c r="V98" s="15" t="s">
        <v>351</v>
      </c>
      <c r="W98" s="15"/>
      <c r="X98" s="24"/>
    </row>
    <row r="99" spans="1:24" ht="31.5" customHeight="1">
      <c r="B99" s="46">
        <v>45824</v>
      </c>
      <c r="C99" s="39" t="s">
        <v>409</v>
      </c>
      <c r="D99" s="72" t="s">
        <v>493</v>
      </c>
      <c r="E99" s="75" t="s">
        <v>503</v>
      </c>
      <c r="F99" s="24" t="s">
        <v>115</v>
      </c>
      <c r="G99" s="78" t="s">
        <v>116</v>
      </c>
      <c r="H99" s="72" t="s">
        <v>8</v>
      </c>
      <c r="I99" s="79" t="s">
        <v>505</v>
      </c>
      <c r="J99" s="79" t="s">
        <v>505</v>
      </c>
      <c r="K99" s="85" t="s">
        <v>528</v>
      </c>
      <c r="L99" s="85" t="s">
        <v>610</v>
      </c>
      <c r="M99" s="79" t="s">
        <v>505</v>
      </c>
      <c r="N99" s="116" t="s">
        <v>505</v>
      </c>
      <c r="O99" s="39"/>
      <c r="P99" s="39" t="s">
        <v>483</v>
      </c>
      <c r="Q99" s="72" t="s">
        <v>8</v>
      </c>
      <c r="R99" s="48" t="s">
        <v>566</v>
      </c>
      <c r="S99" s="48" t="s">
        <v>566</v>
      </c>
      <c r="T99" s="48" t="s">
        <v>566</v>
      </c>
      <c r="U99" s="49" t="s">
        <v>566</v>
      </c>
      <c r="V99" s="24" t="s">
        <v>567</v>
      </c>
      <c r="W99" s="48" t="s">
        <v>566</v>
      </c>
      <c r="X99" s="24"/>
    </row>
    <row r="100" spans="1:24" ht="23.25" customHeight="1">
      <c r="A100" s="40" t="s">
        <v>482</v>
      </c>
      <c r="B100" s="32">
        <v>45825</v>
      </c>
      <c r="C100" s="38" t="s">
        <v>409</v>
      </c>
      <c r="D100" s="35" t="s">
        <v>531</v>
      </c>
      <c r="E100" s="37" t="s">
        <v>503</v>
      </c>
      <c r="F100" s="24" t="s">
        <v>481</v>
      </c>
      <c r="G100" s="3" t="s">
        <v>116</v>
      </c>
      <c r="H100" s="11" t="s">
        <v>8</v>
      </c>
      <c r="I100" s="15" t="s">
        <v>4</v>
      </c>
      <c r="J100" s="8" t="s">
        <v>4</v>
      </c>
      <c r="K100" s="8" t="s">
        <v>477</v>
      </c>
      <c r="L100" s="8" t="s">
        <v>529</v>
      </c>
      <c r="M100" s="14" t="s">
        <v>4</v>
      </c>
      <c r="N100" s="115" t="s">
        <v>4</v>
      </c>
      <c r="O100" s="11" t="s">
        <v>367</v>
      </c>
      <c r="P100" s="36" t="s">
        <v>483</v>
      </c>
      <c r="Q100" s="11" t="s">
        <v>8</v>
      </c>
      <c r="R100" s="11"/>
      <c r="S100" s="32"/>
      <c r="T100" s="32"/>
      <c r="U100" s="41"/>
      <c r="V100" s="15" t="s">
        <v>430</v>
      </c>
      <c r="W100" s="15"/>
      <c r="X100" s="24"/>
    </row>
    <row r="101" spans="1:24" ht="23.25" customHeight="1">
      <c r="B101" s="32">
        <v>45827</v>
      </c>
      <c r="C101" s="38" t="s">
        <v>409</v>
      </c>
      <c r="D101" s="23" t="s">
        <v>543</v>
      </c>
      <c r="E101" s="37" t="s">
        <v>503</v>
      </c>
      <c r="F101" s="24" t="s">
        <v>481</v>
      </c>
      <c r="G101" s="3" t="s">
        <v>116</v>
      </c>
      <c r="H101" s="11" t="s">
        <v>8</v>
      </c>
      <c r="I101" s="15" t="s">
        <v>4</v>
      </c>
      <c r="J101" s="8" t="s">
        <v>4</v>
      </c>
      <c r="K101" s="8" t="s">
        <v>477</v>
      </c>
      <c r="L101" s="8" t="s">
        <v>529</v>
      </c>
      <c r="M101" s="14" t="s">
        <v>4</v>
      </c>
      <c r="N101" s="115" t="s">
        <v>4</v>
      </c>
      <c r="O101" s="11" t="s">
        <v>367</v>
      </c>
      <c r="P101" s="36" t="s">
        <v>483</v>
      </c>
      <c r="Q101" s="11" t="s">
        <v>8</v>
      </c>
      <c r="R101" s="11"/>
      <c r="S101" s="32"/>
      <c r="T101" s="32"/>
      <c r="U101" s="41"/>
      <c r="V101" s="15" t="s">
        <v>430</v>
      </c>
      <c r="W101" s="15"/>
      <c r="X101" s="24"/>
    </row>
    <row r="102" spans="1:24" ht="23.25" customHeight="1">
      <c r="A102" s="40" t="s">
        <v>672</v>
      </c>
      <c r="B102" s="32">
        <v>45827</v>
      </c>
      <c r="C102" s="38" t="s">
        <v>409</v>
      </c>
      <c r="D102" s="23" t="s">
        <v>495</v>
      </c>
      <c r="E102" s="37" t="s">
        <v>503</v>
      </c>
      <c r="F102" s="24" t="s">
        <v>481</v>
      </c>
      <c r="G102" s="3" t="s">
        <v>116</v>
      </c>
      <c r="H102" s="11" t="s">
        <v>8</v>
      </c>
      <c r="I102" s="15" t="s">
        <v>4</v>
      </c>
      <c r="J102" s="8" t="s">
        <v>4</v>
      </c>
      <c r="K102" s="8" t="s">
        <v>477</v>
      </c>
      <c r="L102" s="8" t="s">
        <v>673</v>
      </c>
      <c r="M102" s="14" t="s">
        <v>4</v>
      </c>
      <c r="N102" s="115" t="s">
        <v>4</v>
      </c>
      <c r="O102" s="11" t="s">
        <v>367</v>
      </c>
      <c r="P102" s="36" t="s">
        <v>483</v>
      </c>
      <c r="Q102" s="11" t="s">
        <v>8</v>
      </c>
      <c r="R102" s="11"/>
      <c r="S102" s="32"/>
      <c r="T102" s="32"/>
      <c r="U102" s="41"/>
      <c r="V102" s="15" t="s">
        <v>619</v>
      </c>
      <c r="W102" s="15"/>
      <c r="X102" s="24"/>
    </row>
    <row r="103" spans="1:24" ht="23.25" customHeight="1">
      <c r="A103" s="40" t="s">
        <v>482</v>
      </c>
      <c r="B103" s="32">
        <v>45824</v>
      </c>
      <c r="C103" s="38" t="s">
        <v>409</v>
      </c>
      <c r="D103" s="23" t="s">
        <v>485</v>
      </c>
      <c r="E103" s="37" t="s">
        <v>503</v>
      </c>
      <c r="F103" s="24" t="s">
        <v>481</v>
      </c>
      <c r="G103" s="3" t="s">
        <v>116</v>
      </c>
      <c r="H103" s="11" t="s">
        <v>8</v>
      </c>
      <c r="I103" s="15" t="s">
        <v>4</v>
      </c>
      <c r="J103" s="8" t="s">
        <v>4</v>
      </c>
      <c r="K103" s="8" t="s">
        <v>477</v>
      </c>
      <c r="L103" s="8" t="s">
        <v>476</v>
      </c>
      <c r="M103" s="14" t="s">
        <v>4</v>
      </c>
      <c r="N103" s="115" t="s">
        <v>4</v>
      </c>
      <c r="O103" s="11" t="s">
        <v>367</v>
      </c>
      <c r="P103" s="36" t="s">
        <v>483</v>
      </c>
      <c r="Q103" s="11" t="s">
        <v>8</v>
      </c>
      <c r="R103" s="11"/>
      <c r="S103" s="32"/>
      <c r="T103" s="32"/>
      <c r="U103" s="41"/>
      <c r="V103" s="15" t="s">
        <v>430</v>
      </c>
      <c r="W103" s="15"/>
      <c r="X103" s="24"/>
    </row>
    <row r="104" spans="1:24" ht="23.25" customHeight="1">
      <c r="B104" s="32">
        <v>45825</v>
      </c>
      <c r="C104" s="38" t="s">
        <v>410</v>
      </c>
      <c r="D104" s="23" t="s">
        <v>491</v>
      </c>
      <c r="E104" s="37" t="s">
        <v>503</v>
      </c>
      <c r="F104" s="24" t="s">
        <v>481</v>
      </c>
      <c r="G104" s="3" t="s">
        <v>116</v>
      </c>
      <c r="H104" s="11" t="s">
        <v>8</v>
      </c>
      <c r="I104" s="15" t="s">
        <v>4</v>
      </c>
      <c r="J104" s="8" t="s">
        <v>4</v>
      </c>
      <c r="K104" s="8" t="s">
        <v>477</v>
      </c>
      <c r="L104" s="8" t="s">
        <v>761</v>
      </c>
      <c r="M104" s="14" t="s">
        <v>4</v>
      </c>
      <c r="N104" s="115" t="s">
        <v>4</v>
      </c>
      <c r="O104" s="11" t="s">
        <v>367</v>
      </c>
      <c r="P104" s="36" t="s">
        <v>483</v>
      </c>
      <c r="Q104" s="11" t="s">
        <v>8</v>
      </c>
      <c r="R104" s="11"/>
      <c r="S104" s="32"/>
      <c r="T104" s="32"/>
      <c r="U104" s="41"/>
      <c r="V104" s="15" t="s">
        <v>351</v>
      </c>
      <c r="W104" s="15"/>
      <c r="X104" s="24"/>
    </row>
    <row r="105" spans="1:24" ht="23.25" customHeight="1">
      <c r="B105" s="65">
        <v>45827</v>
      </c>
      <c r="C105" s="6" t="s">
        <v>409</v>
      </c>
      <c r="D105" s="66" t="s">
        <v>489</v>
      </c>
      <c r="E105" s="37" t="s">
        <v>503</v>
      </c>
      <c r="F105" s="24" t="s">
        <v>115</v>
      </c>
      <c r="G105" s="3" t="s">
        <v>116</v>
      </c>
      <c r="H105" s="11" t="s">
        <v>8</v>
      </c>
      <c r="I105" s="8" t="s">
        <v>505</v>
      </c>
      <c r="J105" s="8" t="s">
        <v>505</v>
      </c>
      <c r="K105" s="39" t="s">
        <v>528</v>
      </c>
      <c r="L105" s="39" t="s">
        <v>712</v>
      </c>
      <c r="M105" s="39" t="s">
        <v>505</v>
      </c>
      <c r="N105" s="67" t="s">
        <v>505</v>
      </c>
      <c r="O105" s="66" t="s">
        <v>507</v>
      </c>
      <c r="P105" s="39" t="s">
        <v>483</v>
      </c>
      <c r="Q105" s="11" t="s">
        <v>8</v>
      </c>
      <c r="R105" s="11"/>
      <c r="S105" s="32"/>
      <c r="T105" s="32"/>
      <c r="U105" s="41"/>
      <c r="V105" s="66" t="s">
        <v>681</v>
      </c>
      <c r="W105" s="15"/>
      <c r="X105" s="24"/>
    </row>
  </sheetData>
  <autoFilter ref="A2:W105" xr:uid="{00000000-0009-0000-0000-000001000000}">
    <filterColumn colId="16">
      <filters>
        <filter val="하"/>
      </filters>
    </filterColumn>
    <sortState xmlns:xlrd2="http://schemas.microsoft.com/office/spreadsheetml/2017/richdata2" ref="A3:W105">
      <sortCondition ref="F2:F105"/>
    </sortState>
  </autoFilter>
  <sortState xmlns:xlrd2="http://schemas.microsoft.com/office/spreadsheetml/2017/richdata2" ref="A3:X17">
    <sortCondition ref="A3:A297"/>
  </sortState>
  <phoneticPr fontId="54" type="noConversion"/>
  <conditionalFormatting sqref="B2:D2 B106:D1048576">
    <cfRule type="endsWith" dxfId="1010" priority="22016" operator="endsWith" text=" ">
      <formula>RIGHT(B2,LEN(" "))=" "</formula>
    </cfRule>
  </conditionalFormatting>
  <conditionalFormatting sqref="B1:D1">
    <cfRule type="endsWith" dxfId="1009" priority="10242" operator="endsWith" text=" ">
      <formula>RIGHT(B1,LEN(" "))=" "</formula>
    </cfRule>
  </conditionalFormatting>
  <conditionalFormatting sqref="S3:T3">
    <cfRule type="expression" dxfId="1008" priority="1269">
      <formula>ISBLANK($S3)</formula>
    </cfRule>
  </conditionalFormatting>
  <conditionalFormatting sqref="S3">
    <cfRule type="expression" dxfId="1007" priority="1268">
      <formula>IF(#REF!="제외",1,0)</formula>
    </cfRule>
  </conditionalFormatting>
  <conditionalFormatting sqref="W3">
    <cfRule type="expression" dxfId="1006" priority="1267">
      <formula>ISBLANK($W3)</formula>
    </cfRule>
  </conditionalFormatting>
  <conditionalFormatting sqref="T3">
    <cfRule type="expression" dxfId="1005" priority="1266">
      <formula>#REF!="제외"="해당없음"</formula>
    </cfRule>
  </conditionalFormatting>
  <conditionalFormatting sqref="W3">
    <cfRule type="expression" dxfId="1004" priority="1265">
      <formula>#REF!="제외"</formula>
    </cfRule>
  </conditionalFormatting>
  <conditionalFormatting sqref="B3:D3 D3:D17">
    <cfRule type="endsWith" dxfId="1003" priority="1264" operator="endsWith" text=" ">
      <formula>RIGHT(B3,LEN(" "))=" "</formula>
    </cfRule>
  </conditionalFormatting>
  <conditionalFormatting sqref="T3">
    <cfRule type="expression" dxfId="1002" priority="1270">
      <formula>#REF!="제외"</formula>
    </cfRule>
    <cfRule type="expression" dxfId="1001" priority="1271">
      <formula>TEXT(#REF!,"YYYY")="2022"</formula>
    </cfRule>
    <cfRule type="expression" dxfId="1000" priority="1272">
      <formula>$T3="조치완료"</formula>
    </cfRule>
    <cfRule type="expression" dxfId="999" priority="1273">
      <formula>$T3="조치미흡"</formula>
    </cfRule>
  </conditionalFormatting>
  <conditionalFormatting sqref="U3">
    <cfRule type="expression" dxfId="998" priority="1274">
      <formula>#REF!="제외"</formula>
    </cfRule>
    <cfRule type="expression" dxfId="997" priority="1275">
      <formula>ISBLANK($U3)</formula>
    </cfRule>
  </conditionalFormatting>
  <conditionalFormatting sqref="R3">
    <cfRule type="expression" dxfId="996" priority="1262">
      <formula>ISBLANK($R3)</formula>
    </cfRule>
    <cfRule type="expression" dxfId="995" priority="1263">
      <formula>ISBLANK($R3)</formula>
    </cfRule>
  </conditionalFormatting>
  <conditionalFormatting sqref="S6:T6">
    <cfRule type="expression" dxfId="994" priority="1241">
      <formula>ISBLANK($S6)</formula>
    </cfRule>
  </conditionalFormatting>
  <conditionalFormatting sqref="S6">
    <cfRule type="expression" dxfId="993" priority="1240">
      <formula>IF(#REF!="제외",1,0)</formula>
    </cfRule>
  </conditionalFormatting>
  <conditionalFormatting sqref="W6">
    <cfRule type="expression" dxfId="992" priority="1239">
      <formula>ISBLANK($W6)</formula>
    </cfRule>
  </conditionalFormatting>
  <conditionalFormatting sqref="T6">
    <cfRule type="expression" dxfId="991" priority="1238">
      <formula>#REF!="제외"="해당없음"</formula>
    </cfRule>
  </conditionalFormatting>
  <conditionalFormatting sqref="W6">
    <cfRule type="expression" dxfId="990" priority="1237">
      <formula>#REF!="제외"</formula>
    </cfRule>
  </conditionalFormatting>
  <conditionalFormatting sqref="B6:D6">
    <cfRule type="endsWith" dxfId="989" priority="1236" operator="endsWith" text=" ">
      <formula>RIGHT(B6,LEN(" "))=" "</formula>
    </cfRule>
  </conditionalFormatting>
  <conditionalFormatting sqref="T6">
    <cfRule type="expression" dxfId="988" priority="1242">
      <formula>#REF!="제외"</formula>
    </cfRule>
    <cfRule type="expression" dxfId="987" priority="1243">
      <formula>TEXT(#REF!,"YYYY")="2022"</formula>
    </cfRule>
    <cfRule type="expression" dxfId="986" priority="1244">
      <formula>$T6="조치완료"</formula>
    </cfRule>
    <cfRule type="expression" dxfId="985" priority="1245">
      <formula>$T6="조치미흡"</formula>
    </cfRule>
  </conditionalFormatting>
  <conditionalFormatting sqref="U6">
    <cfRule type="expression" dxfId="984" priority="1246">
      <formula>#REF!="제외"</formula>
    </cfRule>
    <cfRule type="expression" dxfId="983" priority="1247">
      <formula>ISBLANK($U6)</formula>
    </cfRule>
  </conditionalFormatting>
  <conditionalFormatting sqref="R6">
    <cfRule type="expression" dxfId="982" priority="1234">
      <formula>ISBLANK($R6)</formula>
    </cfRule>
    <cfRule type="expression" dxfId="981" priority="1235">
      <formula>ISBLANK($R6)</formula>
    </cfRule>
  </conditionalFormatting>
  <conditionalFormatting sqref="S9:T9">
    <cfRule type="expression" dxfId="980" priority="1213">
      <formula>ISBLANK($S9)</formula>
    </cfRule>
  </conditionalFormatting>
  <conditionalFormatting sqref="S9">
    <cfRule type="expression" dxfId="979" priority="1212">
      <formula>IF(#REF!="제외",1,0)</formula>
    </cfRule>
  </conditionalFormatting>
  <conditionalFormatting sqref="W9">
    <cfRule type="expression" dxfId="978" priority="1211">
      <formula>ISBLANK($W9)</formula>
    </cfRule>
  </conditionalFormatting>
  <conditionalFormatting sqref="T9">
    <cfRule type="expression" dxfId="977" priority="1210">
      <formula>#REF!="제외"="해당없음"</formula>
    </cfRule>
  </conditionalFormatting>
  <conditionalFormatting sqref="W9">
    <cfRule type="expression" dxfId="976" priority="1209">
      <formula>#REF!="제외"</formula>
    </cfRule>
  </conditionalFormatting>
  <conditionalFormatting sqref="B9:D9">
    <cfRule type="endsWith" dxfId="975" priority="1208" operator="endsWith" text=" ">
      <formula>RIGHT(B9,LEN(" "))=" "</formula>
    </cfRule>
  </conditionalFormatting>
  <conditionalFormatting sqref="T9">
    <cfRule type="expression" dxfId="974" priority="1214">
      <formula>#REF!="제외"</formula>
    </cfRule>
    <cfRule type="expression" dxfId="973" priority="1215">
      <formula>TEXT(#REF!,"YYYY")="2022"</formula>
    </cfRule>
    <cfRule type="expression" dxfId="972" priority="1216">
      <formula>$T9="조치완료"</formula>
    </cfRule>
    <cfRule type="expression" dxfId="971" priority="1217">
      <formula>$T9="조치미흡"</formula>
    </cfRule>
  </conditionalFormatting>
  <conditionalFormatting sqref="U9">
    <cfRule type="expression" dxfId="970" priority="1218">
      <formula>#REF!="제외"</formula>
    </cfRule>
    <cfRule type="expression" dxfId="969" priority="1219">
      <formula>ISBLANK($U9)</formula>
    </cfRule>
  </conditionalFormatting>
  <conditionalFormatting sqref="R9">
    <cfRule type="expression" dxfId="968" priority="1206">
      <formula>ISBLANK($R9)</formula>
    </cfRule>
    <cfRule type="expression" dxfId="967" priority="1207">
      <formula>ISBLANK($R9)</formula>
    </cfRule>
  </conditionalFormatting>
  <conditionalFormatting sqref="S11:T11">
    <cfRule type="expression" dxfId="966" priority="1185">
      <formula>ISBLANK($S11)</formula>
    </cfRule>
  </conditionalFormatting>
  <conditionalFormatting sqref="S11">
    <cfRule type="expression" dxfId="965" priority="1184">
      <formula>IF(#REF!="제외",1,0)</formula>
    </cfRule>
  </conditionalFormatting>
  <conditionalFormatting sqref="W11">
    <cfRule type="expression" dxfId="964" priority="1183">
      <formula>ISBLANK($W11)</formula>
    </cfRule>
  </conditionalFormatting>
  <conditionalFormatting sqref="T11">
    <cfRule type="expression" dxfId="963" priority="1182">
      <formula>#REF!="제외"="해당없음"</formula>
    </cfRule>
  </conditionalFormatting>
  <conditionalFormatting sqref="W11">
    <cfRule type="expression" dxfId="962" priority="1181">
      <formula>#REF!="제외"</formula>
    </cfRule>
  </conditionalFormatting>
  <conditionalFormatting sqref="B11:D11">
    <cfRule type="endsWith" dxfId="961" priority="1180" operator="endsWith" text=" ">
      <formula>RIGHT(B11,LEN(" "))=" "</formula>
    </cfRule>
  </conditionalFormatting>
  <conditionalFormatting sqref="T11">
    <cfRule type="expression" dxfId="960" priority="1186">
      <formula>#REF!="제외"</formula>
    </cfRule>
    <cfRule type="expression" dxfId="959" priority="1187">
      <formula>TEXT(#REF!,"YYYY")="2022"</formula>
    </cfRule>
    <cfRule type="expression" dxfId="958" priority="1188">
      <formula>$T11="조치완료"</formula>
    </cfRule>
    <cfRule type="expression" dxfId="957" priority="1189">
      <formula>$T11="조치미흡"</formula>
    </cfRule>
  </conditionalFormatting>
  <conditionalFormatting sqref="U11">
    <cfRule type="expression" dxfId="956" priority="1190">
      <formula>#REF!="제외"</formula>
    </cfRule>
    <cfRule type="expression" dxfId="955" priority="1191">
      <formula>ISBLANK($U11)</formula>
    </cfRule>
  </conditionalFormatting>
  <conditionalFormatting sqref="R11">
    <cfRule type="expression" dxfId="954" priority="1178">
      <formula>ISBLANK($R11)</formula>
    </cfRule>
    <cfRule type="expression" dxfId="953" priority="1179">
      <formula>ISBLANK($R11)</formula>
    </cfRule>
  </conditionalFormatting>
  <conditionalFormatting sqref="S5:T5">
    <cfRule type="expression" dxfId="952" priority="1157">
      <formula>ISBLANK($S5)</formula>
    </cfRule>
  </conditionalFormatting>
  <conditionalFormatting sqref="S5">
    <cfRule type="expression" dxfId="951" priority="1156">
      <formula>IF(#REF!="제외",1,0)</formula>
    </cfRule>
  </conditionalFormatting>
  <conditionalFormatting sqref="W5">
    <cfRule type="expression" dxfId="950" priority="1155">
      <formula>ISBLANK($W5)</formula>
    </cfRule>
  </conditionalFormatting>
  <conditionalFormatting sqref="T5">
    <cfRule type="expression" dxfId="949" priority="1154">
      <formula>#REF!="제외"="해당없음"</formula>
    </cfRule>
  </conditionalFormatting>
  <conditionalFormatting sqref="W5">
    <cfRule type="expression" dxfId="948" priority="1153">
      <formula>#REF!="제외"</formula>
    </cfRule>
  </conditionalFormatting>
  <conditionalFormatting sqref="B5:D5">
    <cfRule type="endsWith" dxfId="947" priority="1152" operator="endsWith" text=" ">
      <formula>RIGHT(B5,LEN(" "))=" "</formula>
    </cfRule>
  </conditionalFormatting>
  <conditionalFormatting sqref="T5">
    <cfRule type="expression" dxfId="946" priority="1158">
      <formula>#REF!="제외"</formula>
    </cfRule>
    <cfRule type="expression" dxfId="945" priority="1159">
      <formula>TEXT(#REF!,"YYYY")="2022"</formula>
    </cfRule>
    <cfRule type="expression" dxfId="944" priority="1160">
      <formula>$T5="조치완료"</formula>
    </cfRule>
    <cfRule type="expression" dxfId="943" priority="1161">
      <formula>$T5="조치미흡"</formula>
    </cfRule>
  </conditionalFormatting>
  <conditionalFormatting sqref="U5">
    <cfRule type="expression" dxfId="942" priority="1162">
      <formula>#REF!="제외"</formula>
    </cfRule>
    <cfRule type="expression" dxfId="941" priority="1163">
      <formula>ISBLANK($U5)</formula>
    </cfRule>
  </conditionalFormatting>
  <conditionalFormatting sqref="R5">
    <cfRule type="expression" dxfId="940" priority="1150">
      <formula>ISBLANK($R5)</formula>
    </cfRule>
    <cfRule type="expression" dxfId="939" priority="1151">
      <formula>ISBLANK($R5)</formula>
    </cfRule>
  </conditionalFormatting>
  <conditionalFormatting sqref="S4:T4">
    <cfRule type="expression" dxfId="938" priority="1129">
      <formula>ISBLANK($S4)</formula>
    </cfRule>
  </conditionalFormatting>
  <conditionalFormatting sqref="S4">
    <cfRule type="expression" dxfId="937" priority="1128">
      <formula>IF(#REF!="제외",1,0)</formula>
    </cfRule>
  </conditionalFormatting>
  <conditionalFormatting sqref="W4">
    <cfRule type="expression" dxfId="936" priority="1127">
      <formula>ISBLANK($W4)</formula>
    </cfRule>
  </conditionalFormatting>
  <conditionalFormatting sqref="T4">
    <cfRule type="expression" dxfId="935" priority="1126">
      <formula>#REF!="제외"="해당없음"</formula>
    </cfRule>
  </conditionalFormatting>
  <conditionalFormatting sqref="W4">
    <cfRule type="expression" dxfId="934" priority="1125">
      <formula>#REF!="제외"</formula>
    </cfRule>
  </conditionalFormatting>
  <conditionalFormatting sqref="B4:D4">
    <cfRule type="endsWith" dxfId="933" priority="1124" operator="endsWith" text=" ">
      <formula>RIGHT(B4,LEN(" "))=" "</formula>
    </cfRule>
  </conditionalFormatting>
  <conditionalFormatting sqref="T4">
    <cfRule type="expression" dxfId="932" priority="1130">
      <formula>#REF!="제외"</formula>
    </cfRule>
    <cfRule type="expression" dxfId="931" priority="1131">
      <formula>TEXT(#REF!,"YYYY")="2022"</formula>
    </cfRule>
    <cfRule type="expression" dxfId="930" priority="1132">
      <formula>$T4="조치완료"</formula>
    </cfRule>
    <cfRule type="expression" dxfId="929" priority="1133">
      <formula>$T4="조치미흡"</formula>
    </cfRule>
  </conditionalFormatting>
  <conditionalFormatting sqref="U4">
    <cfRule type="expression" dxfId="928" priority="1134">
      <formula>#REF!="제외"</formula>
    </cfRule>
    <cfRule type="expression" dxfId="927" priority="1135">
      <formula>ISBLANK($U4)</formula>
    </cfRule>
  </conditionalFormatting>
  <conditionalFormatting sqref="R4">
    <cfRule type="expression" dxfId="926" priority="1122">
      <formula>ISBLANK($R4)</formula>
    </cfRule>
    <cfRule type="expression" dxfId="925" priority="1123">
      <formula>ISBLANK($R4)</formula>
    </cfRule>
  </conditionalFormatting>
  <conditionalFormatting sqref="S13:T13">
    <cfRule type="expression" dxfId="924" priority="1101">
      <formula>ISBLANK($S13)</formula>
    </cfRule>
  </conditionalFormatting>
  <conditionalFormatting sqref="S13">
    <cfRule type="expression" dxfId="923" priority="1100">
      <formula>IF(#REF!="제외",1,0)</formula>
    </cfRule>
  </conditionalFormatting>
  <conditionalFormatting sqref="W13">
    <cfRule type="expression" dxfId="922" priority="1099">
      <formula>ISBLANK($W13)</formula>
    </cfRule>
  </conditionalFormatting>
  <conditionalFormatting sqref="T13">
    <cfRule type="expression" dxfId="921" priority="1098">
      <formula>#REF!="제외"="해당없음"</formula>
    </cfRule>
  </conditionalFormatting>
  <conditionalFormatting sqref="W13">
    <cfRule type="expression" dxfId="920" priority="1097">
      <formula>#REF!="제외"</formula>
    </cfRule>
  </conditionalFormatting>
  <conditionalFormatting sqref="B13:D13">
    <cfRule type="endsWith" dxfId="919" priority="1096" operator="endsWith" text=" ">
      <formula>RIGHT(B13,LEN(" "))=" "</formula>
    </cfRule>
  </conditionalFormatting>
  <conditionalFormatting sqref="T13">
    <cfRule type="expression" dxfId="918" priority="1102">
      <formula>#REF!="제외"</formula>
    </cfRule>
    <cfRule type="expression" dxfId="917" priority="1103">
      <formula>TEXT(#REF!,"YYYY")="2022"</formula>
    </cfRule>
    <cfRule type="expression" dxfId="916" priority="1104">
      <formula>$T13="조치완료"</formula>
    </cfRule>
    <cfRule type="expression" dxfId="915" priority="1105">
      <formula>$T13="조치미흡"</formula>
    </cfRule>
  </conditionalFormatting>
  <conditionalFormatting sqref="U13">
    <cfRule type="expression" dxfId="914" priority="1106">
      <formula>#REF!="제외"</formula>
    </cfRule>
    <cfRule type="expression" dxfId="913" priority="1107">
      <formula>ISBLANK($U13)</formula>
    </cfRule>
  </conditionalFormatting>
  <conditionalFormatting sqref="R13">
    <cfRule type="expression" dxfId="912" priority="1094">
      <formula>ISBLANK($R13)</formula>
    </cfRule>
    <cfRule type="expression" dxfId="911" priority="1095">
      <formula>ISBLANK($R13)</formula>
    </cfRule>
  </conditionalFormatting>
  <conditionalFormatting sqref="S7:T7">
    <cfRule type="expression" dxfId="910" priority="1073">
      <formula>ISBLANK($S7)</formula>
    </cfRule>
  </conditionalFormatting>
  <conditionalFormatting sqref="S7">
    <cfRule type="expression" dxfId="909" priority="1072">
      <formula>IF(#REF!="제외",1,0)</formula>
    </cfRule>
  </conditionalFormatting>
  <conditionalFormatting sqref="W7">
    <cfRule type="expression" dxfId="908" priority="1071">
      <formula>ISBLANK($W7)</formula>
    </cfRule>
  </conditionalFormatting>
  <conditionalFormatting sqref="T7">
    <cfRule type="expression" dxfId="907" priority="1070">
      <formula>#REF!="제외"="해당없음"</formula>
    </cfRule>
  </conditionalFormatting>
  <conditionalFormatting sqref="W7">
    <cfRule type="expression" dxfId="906" priority="1069">
      <formula>#REF!="제외"</formula>
    </cfRule>
  </conditionalFormatting>
  <conditionalFormatting sqref="B7:D7">
    <cfRule type="endsWith" dxfId="905" priority="1068" operator="endsWith" text=" ">
      <formula>RIGHT(B7,LEN(" "))=" "</formula>
    </cfRule>
  </conditionalFormatting>
  <conditionalFormatting sqref="T7">
    <cfRule type="expression" dxfId="904" priority="1074">
      <formula>#REF!="제외"</formula>
    </cfRule>
    <cfRule type="expression" dxfId="903" priority="1075">
      <formula>TEXT(#REF!,"YYYY")="2022"</formula>
    </cfRule>
    <cfRule type="expression" dxfId="902" priority="1076">
      <formula>$T7="조치완료"</formula>
    </cfRule>
    <cfRule type="expression" dxfId="901" priority="1077">
      <formula>$T7="조치미흡"</formula>
    </cfRule>
  </conditionalFormatting>
  <conditionalFormatting sqref="U7">
    <cfRule type="expression" dxfId="900" priority="1078">
      <formula>#REF!="제외"</formula>
    </cfRule>
    <cfRule type="expression" dxfId="899" priority="1079">
      <formula>ISBLANK($U7)</formula>
    </cfRule>
  </conditionalFormatting>
  <conditionalFormatting sqref="R7">
    <cfRule type="expression" dxfId="898" priority="1066">
      <formula>ISBLANK($R7)</formula>
    </cfRule>
    <cfRule type="expression" dxfId="897" priority="1067">
      <formula>ISBLANK($R7)</formula>
    </cfRule>
  </conditionalFormatting>
  <conditionalFormatting sqref="S14:T14">
    <cfRule type="expression" dxfId="896" priority="1045">
      <formula>ISBLANK($S14)</formula>
    </cfRule>
  </conditionalFormatting>
  <conditionalFormatting sqref="S14">
    <cfRule type="expression" dxfId="895" priority="1044">
      <formula>IF(#REF!="제외",1,0)</formula>
    </cfRule>
  </conditionalFormatting>
  <conditionalFormatting sqref="W14">
    <cfRule type="expression" dxfId="894" priority="1043">
      <formula>ISBLANK($W14)</formula>
    </cfRule>
  </conditionalFormatting>
  <conditionalFormatting sqref="T14">
    <cfRule type="expression" dxfId="893" priority="1042">
      <formula>#REF!="제외"="해당없음"</formula>
    </cfRule>
  </conditionalFormatting>
  <conditionalFormatting sqref="W14">
    <cfRule type="expression" dxfId="892" priority="1041">
      <formula>#REF!="제외"</formula>
    </cfRule>
  </conditionalFormatting>
  <conditionalFormatting sqref="B14:D14">
    <cfRule type="endsWith" dxfId="891" priority="1040" operator="endsWith" text=" ">
      <formula>RIGHT(B14,LEN(" "))=" "</formula>
    </cfRule>
  </conditionalFormatting>
  <conditionalFormatting sqref="T14">
    <cfRule type="expression" dxfId="890" priority="1046">
      <formula>#REF!="제외"</formula>
    </cfRule>
    <cfRule type="expression" dxfId="889" priority="1047">
      <formula>TEXT(#REF!,"YYYY")="2022"</formula>
    </cfRule>
    <cfRule type="expression" dxfId="888" priority="1048">
      <formula>$T14="조치완료"</formula>
    </cfRule>
    <cfRule type="expression" dxfId="887" priority="1049">
      <formula>$T14="조치미흡"</formula>
    </cfRule>
  </conditionalFormatting>
  <conditionalFormatting sqref="U14">
    <cfRule type="expression" dxfId="886" priority="1050">
      <formula>#REF!="제외"</formula>
    </cfRule>
    <cfRule type="expression" dxfId="885" priority="1051">
      <formula>ISBLANK($U14)</formula>
    </cfRule>
  </conditionalFormatting>
  <conditionalFormatting sqref="R14">
    <cfRule type="expression" dxfId="884" priority="1038">
      <formula>ISBLANK($R14)</formula>
    </cfRule>
    <cfRule type="expression" dxfId="883" priority="1039">
      <formula>ISBLANK($R14)</formula>
    </cfRule>
  </conditionalFormatting>
  <conditionalFormatting sqref="S15:T15">
    <cfRule type="expression" dxfId="882" priority="1017">
      <formula>ISBLANK($S15)</formula>
    </cfRule>
  </conditionalFormatting>
  <conditionalFormatting sqref="S15">
    <cfRule type="expression" dxfId="881" priority="1016">
      <formula>IF(#REF!="제외",1,0)</formula>
    </cfRule>
  </conditionalFormatting>
  <conditionalFormatting sqref="W15">
    <cfRule type="expression" dxfId="880" priority="1015">
      <formula>ISBLANK($W15)</formula>
    </cfRule>
  </conditionalFormatting>
  <conditionalFormatting sqref="T15">
    <cfRule type="expression" dxfId="879" priority="1014">
      <formula>#REF!="제외"="해당없음"</formula>
    </cfRule>
  </conditionalFormatting>
  <conditionalFormatting sqref="W15">
    <cfRule type="expression" dxfId="878" priority="1013">
      <formula>#REF!="제외"</formula>
    </cfRule>
  </conditionalFormatting>
  <conditionalFormatting sqref="B15:D15">
    <cfRule type="endsWith" dxfId="877" priority="1012" operator="endsWith" text=" ">
      <formula>RIGHT(B15,LEN(" "))=" "</formula>
    </cfRule>
  </conditionalFormatting>
  <conditionalFormatting sqref="T15">
    <cfRule type="expression" dxfId="876" priority="1018">
      <formula>#REF!="제외"</formula>
    </cfRule>
    <cfRule type="expression" dxfId="875" priority="1019">
      <formula>TEXT(#REF!,"YYYY")="2022"</formula>
    </cfRule>
    <cfRule type="expression" dxfId="874" priority="1020">
      <formula>$T15="조치완료"</formula>
    </cfRule>
    <cfRule type="expression" dxfId="873" priority="1021">
      <formula>$T15="조치미흡"</formula>
    </cfRule>
  </conditionalFormatting>
  <conditionalFormatting sqref="U15">
    <cfRule type="expression" dxfId="872" priority="1022">
      <formula>#REF!="제외"</formula>
    </cfRule>
    <cfRule type="expression" dxfId="871" priority="1023">
      <formula>ISBLANK($U15)</formula>
    </cfRule>
  </conditionalFormatting>
  <conditionalFormatting sqref="R15">
    <cfRule type="expression" dxfId="870" priority="1010">
      <formula>ISBLANK($R15)</formula>
    </cfRule>
    <cfRule type="expression" dxfId="869" priority="1011">
      <formula>ISBLANK($R15)</formula>
    </cfRule>
  </conditionalFormatting>
  <conditionalFormatting sqref="S8:T8">
    <cfRule type="expression" dxfId="868" priority="989">
      <formula>ISBLANK($S8)</formula>
    </cfRule>
  </conditionalFormatting>
  <conditionalFormatting sqref="S8">
    <cfRule type="expression" dxfId="867" priority="988">
      <formula>IF(#REF!="제외",1,0)</formula>
    </cfRule>
  </conditionalFormatting>
  <conditionalFormatting sqref="W8">
    <cfRule type="expression" dxfId="866" priority="987">
      <formula>ISBLANK($W8)</formula>
    </cfRule>
  </conditionalFormatting>
  <conditionalFormatting sqref="T8">
    <cfRule type="expression" dxfId="865" priority="986">
      <formula>#REF!="제외"="해당없음"</formula>
    </cfRule>
  </conditionalFormatting>
  <conditionalFormatting sqref="W8">
    <cfRule type="expression" dxfId="864" priority="985">
      <formula>#REF!="제외"</formula>
    </cfRule>
  </conditionalFormatting>
  <conditionalFormatting sqref="B8:D8">
    <cfRule type="endsWith" dxfId="863" priority="984" operator="endsWith" text=" ">
      <formula>RIGHT(B8,LEN(" "))=" "</formula>
    </cfRule>
  </conditionalFormatting>
  <conditionalFormatting sqref="T8">
    <cfRule type="expression" dxfId="862" priority="990">
      <formula>#REF!="제외"</formula>
    </cfRule>
    <cfRule type="expression" dxfId="861" priority="991">
      <formula>TEXT(#REF!,"YYYY")="2022"</formula>
    </cfRule>
    <cfRule type="expression" dxfId="860" priority="992">
      <formula>$T8="조치완료"</formula>
    </cfRule>
    <cfRule type="expression" dxfId="859" priority="993">
      <formula>$T8="조치미흡"</formula>
    </cfRule>
  </conditionalFormatting>
  <conditionalFormatting sqref="U8">
    <cfRule type="expression" dxfId="858" priority="994">
      <formula>#REF!="제외"</formula>
    </cfRule>
    <cfRule type="expression" dxfId="857" priority="995">
      <formula>ISBLANK($U8)</formula>
    </cfRule>
  </conditionalFormatting>
  <conditionalFormatting sqref="R8">
    <cfRule type="expression" dxfId="856" priority="982">
      <formula>ISBLANK($R8)</formula>
    </cfRule>
    <cfRule type="expression" dxfId="855" priority="983">
      <formula>ISBLANK($R8)</formula>
    </cfRule>
  </conditionalFormatting>
  <conditionalFormatting sqref="S16:T16">
    <cfRule type="expression" dxfId="854" priority="961">
      <formula>ISBLANK($S16)</formula>
    </cfRule>
  </conditionalFormatting>
  <conditionalFormatting sqref="S16">
    <cfRule type="expression" dxfId="853" priority="960">
      <formula>IF(#REF!="제외",1,0)</formula>
    </cfRule>
  </conditionalFormatting>
  <conditionalFormatting sqref="W16">
    <cfRule type="expression" dxfId="852" priority="959">
      <formula>ISBLANK($W16)</formula>
    </cfRule>
  </conditionalFormatting>
  <conditionalFormatting sqref="T16">
    <cfRule type="expression" dxfId="851" priority="958">
      <formula>#REF!="제외"="해당없음"</formula>
    </cfRule>
  </conditionalFormatting>
  <conditionalFormatting sqref="W16">
    <cfRule type="expression" dxfId="850" priority="957">
      <formula>#REF!="제외"</formula>
    </cfRule>
  </conditionalFormatting>
  <conditionalFormatting sqref="B16:D16">
    <cfRule type="endsWith" dxfId="849" priority="956" operator="endsWith" text=" ">
      <formula>RIGHT(B16,LEN(" "))=" "</formula>
    </cfRule>
  </conditionalFormatting>
  <conditionalFormatting sqref="T16">
    <cfRule type="expression" dxfId="848" priority="962">
      <formula>#REF!="제외"</formula>
    </cfRule>
    <cfRule type="expression" dxfId="847" priority="963">
      <formula>TEXT(#REF!,"YYYY")="2022"</formula>
    </cfRule>
    <cfRule type="expression" dxfId="846" priority="964">
      <formula>$T16="조치완료"</formula>
    </cfRule>
    <cfRule type="expression" dxfId="845" priority="965">
      <formula>$T16="조치미흡"</formula>
    </cfRule>
  </conditionalFormatting>
  <conditionalFormatting sqref="U16">
    <cfRule type="expression" dxfId="844" priority="966">
      <formula>#REF!="제외"</formula>
    </cfRule>
    <cfRule type="expression" dxfId="843" priority="967">
      <formula>ISBLANK($U16)</formula>
    </cfRule>
  </conditionalFormatting>
  <conditionalFormatting sqref="R16">
    <cfRule type="expression" dxfId="842" priority="954">
      <formula>ISBLANK($R16)</formula>
    </cfRule>
    <cfRule type="expression" dxfId="841" priority="955">
      <formula>ISBLANK($R16)</formula>
    </cfRule>
  </conditionalFormatting>
  <conditionalFormatting sqref="S17:T17">
    <cfRule type="expression" dxfId="840" priority="933">
      <formula>ISBLANK($S17)</formula>
    </cfRule>
  </conditionalFormatting>
  <conditionalFormatting sqref="S17">
    <cfRule type="expression" dxfId="839" priority="932">
      <formula>IF(#REF!="제외",1,0)</formula>
    </cfRule>
  </conditionalFormatting>
  <conditionalFormatting sqref="W17">
    <cfRule type="expression" dxfId="838" priority="931">
      <formula>ISBLANK($W17)</formula>
    </cfRule>
  </conditionalFormatting>
  <conditionalFormatting sqref="T17">
    <cfRule type="expression" dxfId="837" priority="930">
      <formula>#REF!="제외"="해당없음"</formula>
    </cfRule>
  </conditionalFormatting>
  <conditionalFormatting sqref="W17">
    <cfRule type="expression" dxfId="836" priority="929">
      <formula>#REF!="제외"</formula>
    </cfRule>
  </conditionalFormatting>
  <conditionalFormatting sqref="B17:D17">
    <cfRule type="endsWith" dxfId="835" priority="928" operator="endsWith" text=" ">
      <formula>RIGHT(B17,LEN(" "))=" "</formula>
    </cfRule>
  </conditionalFormatting>
  <conditionalFormatting sqref="T17">
    <cfRule type="expression" dxfId="834" priority="934">
      <formula>#REF!="제외"</formula>
    </cfRule>
    <cfRule type="expression" dxfId="833" priority="935">
      <formula>TEXT(#REF!,"YYYY")="2022"</formula>
    </cfRule>
    <cfRule type="expression" dxfId="832" priority="936">
      <formula>$T17="조치완료"</formula>
    </cfRule>
    <cfRule type="expression" dxfId="831" priority="937">
      <formula>$T17="조치미흡"</formula>
    </cfRule>
  </conditionalFormatting>
  <conditionalFormatting sqref="U17">
    <cfRule type="expression" dxfId="830" priority="938">
      <formula>#REF!="제외"</formula>
    </cfRule>
    <cfRule type="expression" dxfId="829" priority="939">
      <formula>ISBLANK($U17)</formula>
    </cfRule>
  </conditionalFormatting>
  <conditionalFormatting sqref="R17">
    <cfRule type="expression" dxfId="828" priority="926">
      <formula>ISBLANK($R17)</formula>
    </cfRule>
    <cfRule type="expression" dxfId="827" priority="927">
      <formula>ISBLANK($R17)</formula>
    </cfRule>
  </conditionalFormatting>
  <conditionalFormatting sqref="S10:T10">
    <cfRule type="expression" dxfId="826" priority="905">
      <formula>ISBLANK($S10)</formula>
    </cfRule>
  </conditionalFormatting>
  <conditionalFormatting sqref="S10">
    <cfRule type="expression" dxfId="825" priority="904">
      <formula>IF(#REF!="제외",1,0)</formula>
    </cfRule>
  </conditionalFormatting>
  <conditionalFormatting sqref="W10">
    <cfRule type="expression" dxfId="824" priority="903">
      <formula>ISBLANK($W10)</formula>
    </cfRule>
  </conditionalFormatting>
  <conditionalFormatting sqref="T10">
    <cfRule type="expression" dxfId="823" priority="902">
      <formula>#REF!="제외"="해당없음"</formula>
    </cfRule>
  </conditionalFormatting>
  <conditionalFormatting sqref="W10">
    <cfRule type="expression" dxfId="822" priority="901">
      <formula>#REF!="제외"</formula>
    </cfRule>
  </conditionalFormatting>
  <conditionalFormatting sqref="B10:D10">
    <cfRule type="endsWith" dxfId="821" priority="900" operator="endsWith" text=" ">
      <formula>RIGHT(B10,LEN(" "))=" "</formula>
    </cfRule>
  </conditionalFormatting>
  <conditionalFormatting sqref="T10">
    <cfRule type="expression" dxfId="820" priority="906">
      <formula>#REF!="제외"</formula>
    </cfRule>
    <cfRule type="expression" dxfId="819" priority="907">
      <formula>TEXT(#REF!,"YYYY")="2022"</formula>
    </cfRule>
    <cfRule type="expression" dxfId="818" priority="908">
      <formula>$T10="조치완료"</formula>
    </cfRule>
    <cfRule type="expression" dxfId="817" priority="909">
      <formula>$T10="조치미흡"</formula>
    </cfRule>
  </conditionalFormatting>
  <conditionalFormatting sqref="U10">
    <cfRule type="expression" dxfId="816" priority="910">
      <formula>#REF!="제외"</formula>
    </cfRule>
    <cfRule type="expression" dxfId="815" priority="911">
      <formula>ISBLANK($U10)</formula>
    </cfRule>
  </conditionalFormatting>
  <conditionalFormatting sqref="R10">
    <cfRule type="expression" dxfId="814" priority="898">
      <formula>ISBLANK($R10)</formula>
    </cfRule>
    <cfRule type="expression" dxfId="813" priority="899">
      <formula>ISBLANK($R10)</formula>
    </cfRule>
  </conditionalFormatting>
  <conditionalFormatting sqref="S12:T12">
    <cfRule type="expression" dxfId="812" priority="877">
      <formula>ISBLANK($S12)</formula>
    </cfRule>
  </conditionalFormatting>
  <conditionalFormatting sqref="S12">
    <cfRule type="expression" dxfId="811" priority="876">
      <formula>IF(#REF!="제외",1,0)</formula>
    </cfRule>
  </conditionalFormatting>
  <conditionalFormatting sqref="W12">
    <cfRule type="expression" dxfId="810" priority="875">
      <formula>ISBLANK($W12)</formula>
    </cfRule>
  </conditionalFormatting>
  <conditionalFormatting sqref="T12">
    <cfRule type="expression" dxfId="809" priority="874">
      <formula>#REF!="제외"="해당없음"</formula>
    </cfRule>
  </conditionalFormatting>
  <conditionalFormatting sqref="W12">
    <cfRule type="expression" dxfId="808" priority="873">
      <formula>#REF!="제외"</formula>
    </cfRule>
  </conditionalFormatting>
  <conditionalFormatting sqref="B12:D12">
    <cfRule type="endsWith" dxfId="807" priority="872" operator="endsWith" text=" ">
      <formula>RIGHT(B12,LEN(" "))=" "</formula>
    </cfRule>
  </conditionalFormatting>
  <conditionalFormatting sqref="T12">
    <cfRule type="expression" dxfId="806" priority="878">
      <formula>#REF!="제외"</formula>
    </cfRule>
    <cfRule type="expression" dxfId="805" priority="879">
      <formula>TEXT(#REF!,"YYYY")="2022"</formula>
    </cfRule>
    <cfRule type="expression" dxfId="804" priority="880">
      <formula>$T12="조치완료"</formula>
    </cfRule>
    <cfRule type="expression" dxfId="803" priority="881">
      <formula>$T12="조치미흡"</formula>
    </cfRule>
  </conditionalFormatting>
  <conditionalFormatting sqref="U12">
    <cfRule type="expression" dxfId="802" priority="882">
      <formula>#REF!="제외"</formula>
    </cfRule>
    <cfRule type="expression" dxfId="801" priority="883">
      <formula>ISBLANK($U12)</formula>
    </cfRule>
  </conditionalFormatting>
  <conditionalFormatting sqref="R12">
    <cfRule type="expression" dxfId="800" priority="870">
      <formula>ISBLANK($R12)</formula>
    </cfRule>
    <cfRule type="expression" dxfId="799" priority="871">
      <formula>ISBLANK($R12)</formula>
    </cfRule>
  </conditionalFormatting>
  <conditionalFormatting sqref="S18:T18">
    <cfRule type="expression" dxfId="798" priority="779">
      <formula>ISBLANK($S18)</formula>
    </cfRule>
  </conditionalFormatting>
  <conditionalFormatting sqref="S18">
    <cfRule type="expression" dxfId="797" priority="778">
      <formula>IF(#REF!="제외",1,0)</formula>
    </cfRule>
  </conditionalFormatting>
  <conditionalFormatting sqref="W18">
    <cfRule type="expression" dxfId="796" priority="777">
      <formula>ISBLANK($W18)</formula>
    </cfRule>
  </conditionalFormatting>
  <conditionalFormatting sqref="T18">
    <cfRule type="expression" dxfId="795" priority="776">
      <formula>#REF!="제외"="해당없음"</formula>
    </cfRule>
  </conditionalFormatting>
  <conditionalFormatting sqref="W18">
    <cfRule type="expression" dxfId="794" priority="775">
      <formula>#REF!="제외"</formula>
    </cfRule>
  </conditionalFormatting>
  <conditionalFormatting sqref="B18:D18">
    <cfRule type="endsWith" dxfId="793" priority="774" operator="endsWith" text=" ">
      <formula>RIGHT(B18,LEN(" "))=" "</formula>
    </cfRule>
  </conditionalFormatting>
  <conditionalFormatting sqref="T18">
    <cfRule type="expression" dxfId="792" priority="780">
      <formula>#REF!="제외"</formula>
    </cfRule>
    <cfRule type="expression" dxfId="791" priority="781">
      <formula>TEXT(#REF!,"YYYY")="2022"</formula>
    </cfRule>
    <cfRule type="expression" dxfId="790" priority="782">
      <formula>$T18="조치완료"</formula>
    </cfRule>
    <cfRule type="expression" dxfId="789" priority="783">
      <formula>$T18="조치미흡"</formula>
    </cfRule>
  </conditionalFormatting>
  <conditionalFormatting sqref="U18">
    <cfRule type="expression" dxfId="788" priority="784">
      <formula>#REF!="제외"</formula>
    </cfRule>
    <cfRule type="expression" dxfId="787" priority="785">
      <formula>ISBLANK($U18)</formula>
    </cfRule>
  </conditionalFormatting>
  <conditionalFormatting sqref="R18">
    <cfRule type="expression" dxfId="786" priority="772">
      <formula>ISBLANK($R18)</formula>
    </cfRule>
    <cfRule type="expression" dxfId="785" priority="773">
      <formula>ISBLANK($R18)</formula>
    </cfRule>
  </conditionalFormatting>
  <conditionalFormatting sqref="S19:T19">
    <cfRule type="expression" dxfId="784" priority="765">
      <formula>ISBLANK($S19)</formula>
    </cfRule>
  </conditionalFormatting>
  <conditionalFormatting sqref="S19">
    <cfRule type="expression" dxfId="783" priority="764">
      <formula>IF(#REF!="제외",1,0)</formula>
    </cfRule>
  </conditionalFormatting>
  <conditionalFormatting sqref="W19">
    <cfRule type="expression" dxfId="782" priority="763">
      <formula>ISBLANK($W19)</formula>
    </cfRule>
  </conditionalFormatting>
  <conditionalFormatting sqref="T19">
    <cfRule type="expression" dxfId="781" priority="762">
      <formula>#REF!="제외"="해당없음"</formula>
    </cfRule>
  </conditionalFormatting>
  <conditionalFormatting sqref="W19">
    <cfRule type="expression" dxfId="780" priority="761">
      <formula>#REF!="제외"</formula>
    </cfRule>
  </conditionalFormatting>
  <conditionalFormatting sqref="B19:D19">
    <cfRule type="endsWith" dxfId="779" priority="760" operator="endsWith" text=" ">
      <formula>RIGHT(B19,LEN(" "))=" "</formula>
    </cfRule>
  </conditionalFormatting>
  <conditionalFormatting sqref="T19">
    <cfRule type="expression" dxfId="778" priority="766">
      <formula>#REF!="제외"</formula>
    </cfRule>
    <cfRule type="expression" dxfId="777" priority="767">
      <formula>TEXT(#REF!,"YYYY")="2022"</formula>
    </cfRule>
    <cfRule type="expression" dxfId="776" priority="768">
      <formula>$T19="조치완료"</formula>
    </cfRule>
    <cfRule type="expression" dxfId="775" priority="769">
      <formula>$T19="조치미흡"</formula>
    </cfRule>
  </conditionalFormatting>
  <conditionalFormatting sqref="U19">
    <cfRule type="expression" dxfId="774" priority="770">
      <formula>#REF!="제외"</formula>
    </cfRule>
    <cfRule type="expression" dxfId="773" priority="771">
      <formula>ISBLANK($U19)</formula>
    </cfRule>
  </conditionalFormatting>
  <conditionalFormatting sqref="R19">
    <cfRule type="expression" dxfId="772" priority="758">
      <formula>ISBLANK($R19)</formula>
    </cfRule>
    <cfRule type="expression" dxfId="771" priority="759">
      <formula>ISBLANK($R19)</formula>
    </cfRule>
  </conditionalFormatting>
  <conditionalFormatting sqref="S21:T21">
    <cfRule type="expression" dxfId="770" priority="751">
      <formula>ISBLANK($S21)</formula>
    </cfRule>
  </conditionalFormatting>
  <conditionalFormatting sqref="S21">
    <cfRule type="expression" dxfId="769" priority="750">
      <formula>IF(#REF!="제외",1,0)</formula>
    </cfRule>
  </conditionalFormatting>
  <conditionalFormatting sqref="W21">
    <cfRule type="expression" dxfId="768" priority="749">
      <formula>ISBLANK($W21)</formula>
    </cfRule>
  </conditionalFormatting>
  <conditionalFormatting sqref="T21">
    <cfRule type="expression" dxfId="767" priority="748">
      <formula>#REF!="제외"="해당없음"</formula>
    </cfRule>
  </conditionalFormatting>
  <conditionalFormatting sqref="W21">
    <cfRule type="expression" dxfId="766" priority="747">
      <formula>#REF!="제외"</formula>
    </cfRule>
  </conditionalFormatting>
  <conditionalFormatting sqref="B21:D21">
    <cfRule type="endsWith" dxfId="765" priority="746" operator="endsWith" text=" ">
      <formula>RIGHT(B21,LEN(" "))=" "</formula>
    </cfRule>
  </conditionalFormatting>
  <conditionalFormatting sqref="T21">
    <cfRule type="expression" dxfId="764" priority="752">
      <formula>#REF!="제외"</formula>
    </cfRule>
    <cfRule type="expression" dxfId="763" priority="753">
      <formula>TEXT(#REF!,"YYYY")="2022"</formula>
    </cfRule>
    <cfRule type="expression" dxfId="762" priority="754">
      <formula>$T21="조치완료"</formula>
    </cfRule>
    <cfRule type="expression" dxfId="761" priority="755">
      <formula>$T21="조치미흡"</formula>
    </cfRule>
  </conditionalFormatting>
  <conditionalFormatting sqref="U21">
    <cfRule type="expression" dxfId="760" priority="756">
      <formula>#REF!="제외"</formula>
    </cfRule>
    <cfRule type="expression" dxfId="759" priority="757">
      <formula>ISBLANK($U21)</formula>
    </cfRule>
  </conditionalFormatting>
  <conditionalFormatting sqref="R21">
    <cfRule type="expression" dxfId="758" priority="744">
      <formula>ISBLANK($R21)</formula>
    </cfRule>
    <cfRule type="expression" dxfId="757" priority="745">
      <formula>ISBLANK($R21)</formula>
    </cfRule>
  </conditionalFormatting>
  <conditionalFormatting sqref="S23:T23">
    <cfRule type="expression" dxfId="756" priority="737">
      <formula>ISBLANK($S23)</formula>
    </cfRule>
  </conditionalFormatting>
  <conditionalFormatting sqref="S23">
    <cfRule type="expression" dxfId="755" priority="736">
      <formula>IF(#REF!="제외",1,0)</formula>
    </cfRule>
  </conditionalFormatting>
  <conditionalFormatting sqref="W23">
    <cfRule type="expression" dxfId="754" priority="735">
      <formula>ISBLANK($W23)</formula>
    </cfRule>
  </conditionalFormatting>
  <conditionalFormatting sqref="T23">
    <cfRule type="expression" dxfId="753" priority="734">
      <formula>#REF!="제외"="해당없음"</formula>
    </cfRule>
  </conditionalFormatting>
  <conditionalFormatting sqref="W23">
    <cfRule type="expression" dxfId="752" priority="733">
      <formula>#REF!="제외"</formula>
    </cfRule>
  </conditionalFormatting>
  <conditionalFormatting sqref="B23:D23">
    <cfRule type="endsWith" dxfId="751" priority="732" operator="endsWith" text=" ">
      <formula>RIGHT(B23,LEN(" "))=" "</formula>
    </cfRule>
  </conditionalFormatting>
  <conditionalFormatting sqref="T23">
    <cfRule type="expression" dxfId="750" priority="738">
      <formula>#REF!="제외"</formula>
    </cfRule>
    <cfRule type="expression" dxfId="749" priority="739">
      <formula>TEXT(#REF!,"YYYY")="2022"</formula>
    </cfRule>
    <cfRule type="expression" dxfId="748" priority="740">
      <formula>$T23="조치완료"</formula>
    </cfRule>
    <cfRule type="expression" dxfId="747" priority="741">
      <formula>$T23="조치미흡"</formula>
    </cfRule>
  </conditionalFormatting>
  <conditionalFormatting sqref="U23">
    <cfRule type="expression" dxfId="746" priority="742">
      <formula>#REF!="제외"</formula>
    </cfRule>
    <cfRule type="expression" dxfId="745" priority="743">
      <formula>ISBLANK($U23)</formula>
    </cfRule>
  </conditionalFormatting>
  <conditionalFormatting sqref="R23">
    <cfRule type="expression" dxfId="744" priority="730">
      <formula>ISBLANK($R23)</formula>
    </cfRule>
    <cfRule type="expression" dxfId="743" priority="731">
      <formula>ISBLANK($R23)</formula>
    </cfRule>
  </conditionalFormatting>
  <conditionalFormatting sqref="S24:T24">
    <cfRule type="expression" dxfId="742" priority="723">
      <formula>ISBLANK($S24)</formula>
    </cfRule>
  </conditionalFormatting>
  <conditionalFormatting sqref="S24">
    <cfRule type="expression" dxfId="741" priority="722">
      <formula>IF(#REF!="제외",1,0)</formula>
    </cfRule>
  </conditionalFormatting>
  <conditionalFormatting sqref="W24">
    <cfRule type="expression" dxfId="740" priority="721">
      <formula>ISBLANK($W24)</formula>
    </cfRule>
  </conditionalFormatting>
  <conditionalFormatting sqref="T24">
    <cfRule type="expression" dxfId="739" priority="720">
      <formula>#REF!="제외"="해당없음"</formula>
    </cfRule>
  </conditionalFormatting>
  <conditionalFormatting sqref="W24">
    <cfRule type="expression" dxfId="738" priority="719">
      <formula>#REF!="제외"</formula>
    </cfRule>
  </conditionalFormatting>
  <conditionalFormatting sqref="B24:D24">
    <cfRule type="endsWith" dxfId="737" priority="718" operator="endsWith" text=" ">
      <formula>RIGHT(B24,LEN(" "))=" "</formula>
    </cfRule>
  </conditionalFormatting>
  <conditionalFormatting sqref="T24">
    <cfRule type="expression" dxfId="736" priority="724">
      <formula>#REF!="제외"</formula>
    </cfRule>
    <cfRule type="expression" dxfId="735" priority="725">
      <formula>TEXT(#REF!,"YYYY")="2022"</formula>
    </cfRule>
    <cfRule type="expression" dxfId="734" priority="726">
      <formula>$T24="조치완료"</formula>
    </cfRule>
    <cfRule type="expression" dxfId="733" priority="727">
      <formula>$T24="조치미흡"</formula>
    </cfRule>
  </conditionalFormatting>
  <conditionalFormatting sqref="U24">
    <cfRule type="expression" dxfId="732" priority="728">
      <formula>#REF!="제외"</formula>
    </cfRule>
    <cfRule type="expression" dxfId="731" priority="729">
      <formula>ISBLANK($U24)</formula>
    </cfRule>
  </conditionalFormatting>
  <conditionalFormatting sqref="R24">
    <cfRule type="expression" dxfId="730" priority="716">
      <formula>ISBLANK($R24)</formula>
    </cfRule>
    <cfRule type="expression" dxfId="729" priority="717">
      <formula>ISBLANK($R24)</formula>
    </cfRule>
  </conditionalFormatting>
  <conditionalFormatting sqref="S25:T25">
    <cfRule type="expression" dxfId="728" priority="709">
      <formula>ISBLANK($S25)</formula>
    </cfRule>
  </conditionalFormatting>
  <conditionalFormatting sqref="S25">
    <cfRule type="expression" dxfId="727" priority="708">
      <formula>IF(#REF!="제외",1,0)</formula>
    </cfRule>
  </conditionalFormatting>
  <conditionalFormatting sqref="W25">
    <cfRule type="expression" dxfId="726" priority="707">
      <formula>ISBLANK($W25)</formula>
    </cfRule>
  </conditionalFormatting>
  <conditionalFormatting sqref="T25">
    <cfRule type="expression" dxfId="725" priority="706">
      <formula>#REF!="제외"="해당없음"</formula>
    </cfRule>
  </conditionalFormatting>
  <conditionalFormatting sqref="W25">
    <cfRule type="expression" dxfId="724" priority="705">
      <formula>#REF!="제외"</formula>
    </cfRule>
  </conditionalFormatting>
  <conditionalFormatting sqref="B25:D25">
    <cfRule type="endsWith" dxfId="723" priority="704" operator="endsWith" text=" ">
      <formula>RIGHT(B25,LEN(" "))=" "</formula>
    </cfRule>
  </conditionalFormatting>
  <conditionalFormatting sqref="T25">
    <cfRule type="expression" dxfId="722" priority="710">
      <formula>#REF!="제외"</formula>
    </cfRule>
    <cfRule type="expression" dxfId="721" priority="711">
      <formula>TEXT(#REF!,"YYYY")="2022"</formula>
    </cfRule>
    <cfRule type="expression" dxfId="720" priority="712">
      <formula>$T25="조치완료"</formula>
    </cfRule>
    <cfRule type="expression" dxfId="719" priority="713">
      <formula>$T25="조치미흡"</formula>
    </cfRule>
  </conditionalFormatting>
  <conditionalFormatting sqref="U25">
    <cfRule type="expression" dxfId="718" priority="714">
      <formula>#REF!="제외"</formula>
    </cfRule>
    <cfRule type="expression" dxfId="717" priority="715">
      <formula>ISBLANK($U25)</formula>
    </cfRule>
  </conditionalFormatting>
  <conditionalFormatting sqref="R25">
    <cfRule type="expression" dxfId="716" priority="702">
      <formula>ISBLANK($R25)</formula>
    </cfRule>
    <cfRule type="expression" dxfId="715" priority="703">
      <formula>ISBLANK($R25)</formula>
    </cfRule>
  </conditionalFormatting>
  <conditionalFormatting sqref="S26:T26">
    <cfRule type="expression" dxfId="714" priority="695">
      <formula>ISBLANK($S26)</formula>
    </cfRule>
  </conditionalFormatting>
  <conditionalFormatting sqref="S26">
    <cfRule type="expression" dxfId="713" priority="694">
      <formula>IF(#REF!="제외",1,0)</formula>
    </cfRule>
  </conditionalFormatting>
  <conditionalFormatting sqref="W26">
    <cfRule type="expression" dxfId="712" priority="693">
      <formula>ISBLANK($W26)</formula>
    </cfRule>
  </conditionalFormatting>
  <conditionalFormatting sqref="T26">
    <cfRule type="expression" dxfId="711" priority="692">
      <formula>#REF!="제외"="해당없음"</formula>
    </cfRule>
  </conditionalFormatting>
  <conditionalFormatting sqref="W26">
    <cfRule type="expression" dxfId="710" priority="691">
      <formula>#REF!="제외"</formula>
    </cfRule>
  </conditionalFormatting>
  <conditionalFormatting sqref="B26:D26">
    <cfRule type="endsWith" dxfId="709" priority="690" operator="endsWith" text=" ">
      <formula>RIGHT(B26,LEN(" "))=" "</formula>
    </cfRule>
  </conditionalFormatting>
  <conditionalFormatting sqref="T26">
    <cfRule type="expression" dxfId="708" priority="696">
      <formula>#REF!="제외"</formula>
    </cfRule>
    <cfRule type="expression" dxfId="707" priority="697">
      <formula>TEXT(#REF!,"YYYY")="2022"</formula>
    </cfRule>
    <cfRule type="expression" dxfId="706" priority="698">
      <formula>$T26="조치완료"</formula>
    </cfRule>
    <cfRule type="expression" dxfId="705" priority="699">
      <formula>$T26="조치미흡"</formula>
    </cfRule>
  </conditionalFormatting>
  <conditionalFormatting sqref="U26">
    <cfRule type="expression" dxfId="704" priority="700">
      <formula>#REF!="제외"</formula>
    </cfRule>
    <cfRule type="expression" dxfId="703" priority="701">
      <formula>ISBLANK($U26)</formula>
    </cfRule>
  </conditionalFormatting>
  <conditionalFormatting sqref="R26">
    <cfRule type="expression" dxfId="702" priority="688">
      <formula>ISBLANK($R26)</formula>
    </cfRule>
    <cfRule type="expression" dxfId="701" priority="689">
      <formula>ISBLANK($R26)</formula>
    </cfRule>
  </conditionalFormatting>
  <conditionalFormatting sqref="S20:T20">
    <cfRule type="expression" dxfId="700" priority="681">
      <formula>ISBLANK($S20)</formula>
    </cfRule>
  </conditionalFormatting>
  <conditionalFormatting sqref="S20">
    <cfRule type="expression" dxfId="699" priority="680">
      <formula>IF(#REF!="제외",1,0)</formula>
    </cfRule>
  </conditionalFormatting>
  <conditionalFormatting sqref="W20">
    <cfRule type="expression" dxfId="698" priority="679">
      <formula>ISBLANK($W20)</formula>
    </cfRule>
  </conditionalFormatting>
  <conditionalFormatting sqref="T20">
    <cfRule type="expression" dxfId="697" priority="678">
      <formula>#REF!="제외"="해당없음"</formula>
    </cfRule>
  </conditionalFormatting>
  <conditionalFormatting sqref="W20">
    <cfRule type="expression" dxfId="696" priority="677">
      <formula>#REF!="제외"</formula>
    </cfRule>
  </conditionalFormatting>
  <conditionalFormatting sqref="B20:D20">
    <cfRule type="endsWith" dxfId="695" priority="676" operator="endsWith" text=" ">
      <formula>RIGHT(B20,LEN(" "))=" "</formula>
    </cfRule>
  </conditionalFormatting>
  <conditionalFormatting sqref="T20">
    <cfRule type="expression" dxfId="694" priority="682">
      <formula>#REF!="제외"</formula>
    </cfRule>
    <cfRule type="expression" dxfId="693" priority="683">
      <formula>TEXT(#REF!,"YYYY")="2022"</formula>
    </cfRule>
    <cfRule type="expression" dxfId="692" priority="684">
      <formula>$T20="조치완료"</formula>
    </cfRule>
    <cfRule type="expression" dxfId="691" priority="685">
      <formula>$T20="조치미흡"</formula>
    </cfRule>
  </conditionalFormatting>
  <conditionalFormatting sqref="U20">
    <cfRule type="expression" dxfId="690" priority="686">
      <formula>#REF!="제외"</formula>
    </cfRule>
    <cfRule type="expression" dxfId="689" priority="687">
      <formula>ISBLANK($U20)</formula>
    </cfRule>
  </conditionalFormatting>
  <conditionalFormatting sqref="R20">
    <cfRule type="expression" dxfId="688" priority="674">
      <formula>ISBLANK($R20)</formula>
    </cfRule>
    <cfRule type="expression" dxfId="687" priority="675">
      <formula>ISBLANK($R20)</formula>
    </cfRule>
  </conditionalFormatting>
  <conditionalFormatting sqref="S22:T22">
    <cfRule type="expression" dxfId="686" priority="667">
      <formula>ISBLANK($S22)</formula>
    </cfRule>
  </conditionalFormatting>
  <conditionalFormatting sqref="S22">
    <cfRule type="expression" dxfId="685" priority="666">
      <formula>IF(#REF!="제외",1,0)</formula>
    </cfRule>
  </conditionalFormatting>
  <conditionalFormatting sqref="W22">
    <cfRule type="expression" dxfId="684" priority="665">
      <formula>ISBLANK($W22)</formula>
    </cfRule>
  </conditionalFormatting>
  <conditionalFormatting sqref="T22">
    <cfRule type="expression" dxfId="683" priority="664">
      <formula>#REF!="제외"="해당없음"</formula>
    </cfRule>
  </conditionalFormatting>
  <conditionalFormatting sqref="W22">
    <cfRule type="expression" dxfId="682" priority="663">
      <formula>#REF!="제외"</formula>
    </cfRule>
  </conditionalFormatting>
  <conditionalFormatting sqref="B22:D22">
    <cfRule type="endsWith" dxfId="681" priority="662" operator="endsWith" text=" ">
      <formula>RIGHT(B22,LEN(" "))=" "</formula>
    </cfRule>
  </conditionalFormatting>
  <conditionalFormatting sqref="T22">
    <cfRule type="expression" dxfId="680" priority="668">
      <formula>#REF!="제외"</formula>
    </cfRule>
    <cfRule type="expression" dxfId="679" priority="669">
      <formula>TEXT(#REF!,"YYYY")="2022"</formula>
    </cfRule>
    <cfRule type="expression" dxfId="678" priority="670">
      <formula>$T22="조치완료"</formula>
    </cfRule>
    <cfRule type="expression" dxfId="677" priority="671">
      <formula>$T22="조치미흡"</formula>
    </cfRule>
  </conditionalFormatting>
  <conditionalFormatting sqref="U22">
    <cfRule type="expression" dxfId="676" priority="672">
      <formula>#REF!="제외"</formula>
    </cfRule>
    <cfRule type="expression" dxfId="675" priority="673">
      <formula>ISBLANK($U22)</formula>
    </cfRule>
  </conditionalFormatting>
  <conditionalFormatting sqref="R22">
    <cfRule type="expression" dxfId="674" priority="660">
      <formula>ISBLANK($R22)</formula>
    </cfRule>
    <cfRule type="expression" dxfId="673" priority="661">
      <formula>ISBLANK($R22)</formula>
    </cfRule>
  </conditionalFormatting>
  <conditionalFormatting sqref="S27:T27">
    <cfRule type="expression" dxfId="672" priority="653">
      <formula>ISBLANK($S27)</formula>
    </cfRule>
  </conditionalFormatting>
  <conditionalFormatting sqref="S27">
    <cfRule type="expression" dxfId="671" priority="652">
      <formula>IF(#REF!="제외",1,0)</formula>
    </cfRule>
  </conditionalFormatting>
  <conditionalFormatting sqref="W27">
    <cfRule type="expression" dxfId="670" priority="651">
      <formula>ISBLANK($W27)</formula>
    </cfRule>
  </conditionalFormatting>
  <conditionalFormatting sqref="T27">
    <cfRule type="expression" dxfId="669" priority="650">
      <formula>#REF!="제외"="해당없음"</formula>
    </cfRule>
  </conditionalFormatting>
  <conditionalFormatting sqref="W27">
    <cfRule type="expression" dxfId="668" priority="649">
      <formula>#REF!="제외"</formula>
    </cfRule>
  </conditionalFormatting>
  <conditionalFormatting sqref="B27:D27">
    <cfRule type="endsWith" dxfId="667" priority="648" operator="endsWith" text=" ">
      <formula>RIGHT(B27,LEN(" "))=" "</formula>
    </cfRule>
  </conditionalFormatting>
  <conditionalFormatting sqref="T27">
    <cfRule type="expression" dxfId="666" priority="654">
      <formula>#REF!="제외"</formula>
    </cfRule>
    <cfRule type="expression" dxfId="665" priority="655">
      <formula>TEXT(#REF!,"YYYY")="2022"</formula>
    </cfRule>
    <cfRule type="expression" dxfId="664" priority="656">
      <formula>$T27="조치완료"</formula>
    </cfRule>
    <cfRule type="expression" dxfId="663" priority="657">
      <formula>$T27="조치미흡"</formula>
    </cfRule>
  </conditionalFormatting>
  <conditionalFormatting sqref="U27">
    <cfRule type="expression" dxfId="662" priority="658">
      <formula>#REF!="제외"</formula>
    </cfRule>
    <cfRule type="expression" dxfId="661" priority="659">
      <formula>ISBLANK($U27)</formula>
    </cfRule>
  </conditionalFormatting>
  <conditionalFormatting sqref="R27">
    <cfRule type="expression" dxfId="660" priority="646">
      <formula>ISBLANK($R27)</formula>
    </cfRule>
    <cfRule type="expression" dxfId="659" priority="647">
      <formula>ISBLANK($R27)</formula>
    </cfRule>
  </conditionalFormatting>
  <conditionalFormatting sqref="S28:T30">
    <cfRule type="expression" dxfId="658" priority="639">
      <formula>ISBLANK($S28)</formula>
    </cfRule>
  </conditionalFormatting>
  <conditionalFormatting sqref="S28:S30">
    <cfRule type="expression" dxfId="657" priority="638">
      <formula>IF(#REF!="제외",1,0)</formula>
    </cfRule>
  </conditionalFormatting>
  <conditionalFormatting sqref="W28:W30">
    <cfRule type="expression" dxfId="656" priority="637">
      <formula>ISBLANK($W28)</formula>
    </cfRule>
  </conditionalFormatting>
  <conditionalFormatting sqref="T28:T30">
    <cfRule type="expression" dxfId="655" priority="636">
      <formula>#REF!="제외"="해당없음"</formula>
    </cfRule>
  </conditionalFormatting>
  <conditionalFormatting sqref="W28:W30">
    <cfRule type="expression" dxfId="654" priority="635">
      <formula>#REF!="제외"</formula>
    </cfRule>
  </conditionalFormatting>
  <conditionalFormatting sqref="B28:D28 B29:C30 D29:D38">
    <cfRule type="endsWith" dxfId="653" priority="634" operator="endsWith" text=" ">
      <formula>RIGHT(B28,LEN(" "))=" "</formula>
    </cfRule>
  </conditionalFormatting>
  <conditionalFormatting sqref="T28:T30">
    <cfRule type="expression" dxfId="652" priority="640">
      <formula>#REF!="제외"</formula>
    </cfRule>
    <cfRule type="expression" dxfId="651" priority="641">
      <formula>TEXT(#REF!,"YYYY")="2022"</formula>
    </cfRule>
    <cfRule type="expression" dxfId="650" priority="642">
      <formula>$T28="조치완료"</formula>
    </cfRule>
    <cfRule type="expression" dxfId="649" priority="643">
      <formula>$T28="조치미흡"</formula>
    </cfRule>
  </conditionalFormatting>
  <conditionalFormatting sqref="U28:U30">
    <cfRule type="expression" dxfId="648" priority="644">
      <formula>#REF!="제외"</formula>
    </cfRule>
    <cfRule type="expression" dxfId="647" priority="645">
      <formula>ISBLANK($U28)</formula>
    </cfRule>
  </conditionalFormatting>
  <conditionalFormatting sqref="R28:R30">
    <cfRule type="expression" dxfId="646" priority="632">
      <formula>ISBLANK($R28)</formula>
    </cfRule>
    <cfRule type="expression" dxfId="645" priority="633">
      <formula>ISBLANK($R28)</formula>
    </cfRule>
  </conditionalFormatting>
  <conditionalFormatting sqref="S32:T32">
    <cfRule type="expression" dxfId="644" priority="625">
      <formula>ISBLANK($S32)</formula>
    </cfRule>
  </conditionalFormatting>
  <conditionalFormatting sqref="S32">
    <cfRule type="expression" dxfId="643" priority="624">
      <formula>IF(#REF!="제외",1,0)</formula>
    </cfRule>
  </conditionalFormatting>
  <conditionalFormatting sqref="W32">
    <cfRule type="expression" dxfId="642" priority="623">
      <formula>ISBLANK($W32)</formula>
    </cfRule>
  </conditionalFormatting>
  <conditionalFormatting sqref="T32">
    <cfRule type="expression" dxfId="641" priority="622">
      <formula>#REF!="제외"="해당없음"</formula>
    </cfRule>
  </conditionalFormatting>
  <conditionalFormatting sqref="W32">
    <cfRule type="expression" dxfId="640" priority="621">
      <formula>#REF!="제외"</formula>
    </cfRule>
  </conditionalFormatting>
  <conditionalFormatting sqref="B32:C32">
    <cfRule type="endsWith" dxfId="639" priority="620" operator="endsWith" text=" ">
      <formula>RIGHT(B32,LEN(" "))=" "</formula>
    </cfRule>
  </conditionalFormatting>
  <conditionalFormatting sqref="T32">
    <cfRule type="expression" dxfId="638" priority="626">
      <formula>#REF!="제외"</formula>
    </cfRule>
    <cfRule type="expression" dxfId="637" priority="627">
      <formula>TEXT(#REF!,"YYYY")="2022"</formula>
    </cfRule>
    <cfRule type="expression" dxfId="636" priority="628">
      <formula>$T32="조치완료"</formula>
    </cfRule>
    <cfRule type="expression" dxfId="635" priority="629">
      <formula>$T32="조치미흡"</formula>
    </cfRule>
  </conditionalFormatting>
  <conditionalFormatting sqref="U32">
    <cfRule type="expression" dxfId="634" priority="630">
      <formula>#REF!="제외"</formula>
    </cfRule>
    <cfRule type="expression" dxfId="633" priority="631">
      <formula>ISBLANK($U32)</formula>
    </cfRule>
  </conditionalFormatting>
  <conditionalFormatting sqref="R32">
    <cfRule type="expression" dxfId="632" priority="618">
      <formula>ISBLANK($R32)</formula>
    </cfRule>
    <cfRule type="expression" dxfId="631" priority="619">
      <formula>ISBLANK($R32)</formula>
    </cfRule>
  </conditionalFormatting>
  <conditionalFormatting sqref="S33:T33">
    <cfRule type="expression" dxfId="630" priority="611">
      <formula>ISBLANK($S33)</formula>
    </cfRule>
  </conditionalFormatting>
  <conditionalFormatting sqref="S33">
    <cfRule type="expression" dxfId="629" priority="610">
      <formula>IF(#REF!="제외",1,0)</formula>
    </cfRule>
  </conditionalFormatting>
  <conditionalFormatting sqref="W33">
    <cfRule type="expression" dxfId="628" priority="609">
      <formula>ISBLANK($W33)</formula>
    </cfRule>
  </conditionalFormatting>
  <conditionalFormatting sqref="T33">
    <cfRule type="expression" dxfId="627" priority="608">
      <formula>#REF!="제외"="해당없음"</formula>
    </cfRule>
  </conditionalFormatting>
  <conditionalFormatting sqref="W33">
    <cfRule type="expression" dxfId="626" priority="607">
      <formula>#REF!="제외"</formula>
    </cfRule>
  </conditionalFormatting>
  <conditionalFormatting sqref="B33:C33">
    <cfRule type="endsWith" dxfId="625" priority="606" operator="endsWith" text=" ">
      <formula>RIGHT(B33,LEN(" "))=" "</formula>
    </cfRule>
  </conditionalFormatting>
  <conditionalFormatting sqref="T33">
    <cfRule type="expression" dxfId="624" priority="612">
      <formula>#REF!="제외"</formula>
    </cfRule>
    <cfRule type="expression" dxfId="623" priority="613">
      <formula>TEXT(#REF!,"YYYY")="2022"</formula>
    </cfRule>
    <cfRule type="expression" dxfId="622" priority="614">
      <formula>$T33="조치완료"</formula>
    </cfRule>
    <cfRule type="expression" dxfId="621" priority="615">
      <formula>$T33="조치미흡"</formula>
    </cfRule>
  </conditionalFormatting>
  <conditionalFormatting sqref="U33">
    <cfRule type="expression" dxfId="620" priority="616">
      <formula>#REF!="제외"</formula>
    </cfRule>
    <cfRule type="expression" dxfId="619" priority="617">
      <formula>ISBLANK($U33)</formula>
    </cfRule>
  </conditionalFormatting>
  <conditionalFormatting sqref="R33">
    <cfRule type="expression" dxfId="618" priority="604">
      <formula>ISBLANK($R33)</formula>
    </cfRule>
    <cfRule type="expression" dxfId="617" priority="605">
      <formula>ISBLANK($R33)</formula>
    </cfRule>
  </conditionalFormatting>
  <conditionalFormatting sqref="S31:T31">
    <cfRule type="expression" dxfId="616" priority="597">
      <formula>ISBLANK($S31)</formula>
    </cfRule>
  </conditionalFormatting>
  <conditionalFormatting sqref="S31">
    <cfRule type="expression" dxfId="615" priority="596">
      <formula>IF(#REF!="제외",1,0)</formula>
    </cfRule>
  </conditionalFormatting>
  <conditionalFormatting sqref="W31">
    <cfRule type="expression" dxfId="614" priority="595">
      <formula>ISBLANK($W31)</formula>
    </cfRule>
  </conditionalFormatting>
  <conditionalFormatting sqref="T31">
    <cfRule type="expression" dxfId="613" priority="594">
      <formula>#REF!="제외"="해당없음"</formula>
    </cfRule>
  </conditionalFormatting>
  <conditionalFormatting sqref="W31">
    <cfRule type="expression" dxfId="612" priority="593">
      <formula>#REF!="제외"</formula>
    </cfRule>
  </conditionalFormatting>
  <conditionalFormatting sqref="B31:C31">
    <cfRule type="endsWith" dxfId="611" priority="592" operator="endsWith" text=" ">
      <formula>RIGHT(B31,LEN(" "))=" "</formula>
    </cfRule>
  </conditionalFormatting>
  <conditionalFormatting sqref="T31">
    <cfRule type="expression" dxfId="610" priority="598">
      <formula>#REF!="제외"</formula>
    </cfRule>
    <cfRule type="expression" dxfId="609" priority="599">
      <formula>TEXT(#REF!,"YYYY")="2022"</formula>
    </cfRule>
    <cfRule type="expression" dxfId="608" priority="600">
      <formula>$T31="조치완료"</formula>
    </cfRule>
    <cfRule type="expression" dxfId="607" priority="601">
      <formula>$T31="조치미흡"</formula>
    </cfRule>
  </conditionalFormatting>
  <conditionalFormatting sqref="U31">
    <cfRule type="expression" dxfId="606" priority="602">
      <formula>#REF!="제외"</formula>
    </cfRule>
    <cfRule type="expression" dxfId="605" priority="603">
      <formula>ISBLANK($U31)</formula>
    </cfRule>
  </conditionalFormatting>
  <conditionalFormatting sqref="R31">
    <cfRule type="expression" dxfId="604" priority="590">
      <formula>ISBLANK($R31)</formula>
    </cfRule>
    <cfRule type="expression" dxfId="603" priority="591">
      <formula>ISBLANK($R31)</formula>
    </cfRule>
  </conditionalFormatting>
  <conditionalFormatting sqref="S34:T36">
    <cfRule type="expression" dxfId="602" priority="583">
      <formula>ISBLANK($S34)</formula>
    </cfRule>
  </conditionalFormatting>
  <conditionalFormatting sqref="S34:S36">
    <cfRule type="expression" dxfId="601" priority="582">
      <formula>IF(#REF!="제외",1,0)</formula>
    </cfRule>
  </conditionalFormatting>
  <conditionalFormatting sqref="W34:W36">
    <cfRule type="expression" dxfId="600" priority="581">
      <formula>ISBLANK($W34)</formula>
    </cfRule>
  </conditionalFormatting>
  <conditionalFormatting sqref="T34:T36">
    <cfRule type="expression" dxfId="599" priority="580">
      <formula>#REF!="제외"="해당없음"</formula>
    </cfRule>
  </conditionalFormatting>
  <conditionalFormatting sqref="W34:W36">
    <cfRule type="expression" dxfId="598" priority="579">
      <formula>#REF!="제외"</formula>
    </cfRule>
  </conditionalFormatting>
  <conditionalFormatting sqref="B34:C36">
    <cfRule type="endsWith" dxfId="597" priority="578" operator="endsWith" text=" ">
      <formula>RIGHT(B34,LEN(" "))=" "</formula>
    </cfRule>
  </conditionalFormatting>
  <conditionalFormatting sqref="T34:T36">
    <cfRule type="expression" dxfId="596" priority="584">
      <formula>#REF!="제외"</formula>
    </cfRule>
    <cfRule type="expression" dxfId="595" priority="585">
      <formula>TEXT(#REF!,"YYYY")="2022"</formula>
    </cfRule>
    <cfRule type="expression" dxfId="594" priority="586">
      <formula>$T34="조치완료"</formula>
    </cfRule>
    <cfRule type="expression" dxfId="593" priority="587">
      <formula>$T34="조치미흡"</formula>
    </cfRule>
  </conditionalFormatting>
  <conditionalFormatting sqref="U34:U36">
    <cfRule type="expression" dxfId="592" priority="588">
      <formula>#REF!="제외"</formula>
    </cfRule>
    <cfRule type="expression" dxfId="591" priority="589">
      <formula>ISBLANK($U34)</formula>
    </cfRule>
  </conditionalFormatting>
  <conditionalFormatting sqref="R34:R36">
    <cfRule type="expression" dxfId="590" priority="576">
      <formula>ISBLANK($R34)</formula>
    </cfRule>
    <cfRule type="expression" dxfId="589" priority="577">
      <formula>ISBLANK($R34)</formula>
    </cfRule>
  </conditionalFormatting>
  <conditionalFormatting sqref="S37:T37">
    <cfRule type="expression" dxfId="588" priority="569">
      <formula>ISBLANK($S37)</formula>
    </cfRule>
  </conditionalFormatting>
  <conditionalFormatting sqref="S37">
    <cfRule type="expression" dxfId="587" priority="568">
      <formula>IF(#REF!="제외",1,0)</formula>
    </cfRule>
  </conditionalFormatting>
  <conditionalFormatting sqref="W37">
    <cfRule type="expression" dxfId="586" priority="567">
      <formula>ISBLANK($W37)</formula>
    </cfRule>
  </conditionalFormatting>
  <conditionalFormatting sqref="T37">
    <cfRule type="expression" dxfId="585" priority="566">
      <formula>#REF!="제외"="해당없음"</formula>
    </cfRule>
  </conditionalFormatting>
  <conditionalFormatting sqref="W37">
    <cfRule type="expression" dxfId="584" priority="565">
      <formula>#REF!="제외"</formula>
    </cfRule>
  </conditionalFormatting>
  <conditionalFormatting sqref="B37:C37">
    <cfRule type="endsWith" dxfId="583" priority="564" operator="endsWith" text=" ">
      <formula>RIGHT(B37,LEN(" "))=" "</formula>
    </cfRule>
  </conditionalFormatting>
  <conditionalFormatting sqref="T37">
    <cfRule type="expression" dxfId="582" priority="570">
      <formula>#REF!="제외"</formula>
    </cfRule>
    <cfRule type="expression" dxfId="581" priority="571">
      <formula>TEXT(#REF!,"YYYY")="2022"</formula>
    </cfRule>
    <cfRule type="expression" dxfId="580" priority="572">
      <formula>$T37="조치완료"</formula>
    </cfRule>
    <cfRule type="expression" dxfId="579" priority="573">
      <formula>$T37="조치미흡"</formula>
    </cfRule>
  </conditionalFormatting>
  <conditionalFormatting sqref="U37">
    <cfRule type="expression" dxfId="578" priority="574">
      <formula>#REF!="제외"</formula>
    </cfRule>
    <cfRule type="expression" dxfId="577" priority="575">
      <formula>ISBLANK($U37)</formula>
    </cfRule>
  </conditionalFormatting>
  <conditionalFormatting sqref="R37">
    <cfRule type="expression" dxfId="576" priority="562">
      <formula>ISBLANK($R37)</formula>
    </cfRule>
    <cfRule type="expression" dxfId="575" priority="563">
      <formula>ISBLANK($R37)</formula>
    </cfRule>
  </conditionalFormatting>
  <conditionalFormatting sqref="S38:T38">
    <cfRule type="expression" dxfId="574" priority="555">
      <formula>ISBLANK($S38)</formula>
    </cfRule>
  </conditionalFormatting>
  <conditionalFormatting sqref="S38">
    <cfRule type="expression" dxfId="573" priority="554">
      <formula>IF(#REF!="제외",1,0)</formula>
    </cfRule>
  </conditionalFormatting>
  <conditionalFormatting sqref="W38">
    <cfRule type="expression" dxfId="572" priority="553">
      <formula>ISBLANK($W38)</formula>
    </cfRule>
  </conditionalFormatting>
  <conditionalFormatting sqref="T38">
    <cfRule type="expression" dxfId="571" priority="552">
      <formula>#REF!="제외"="해당없음"</formula>
    </cfRule>
  </conditionalFormatting>
  <conditionalFormatting sqref="W38">
    <cfRule type="expression" dxfId="570" priority="551">
      <formula>#REF!="제외"</formula>
    </cfRule>
  </conditionalFormatting>
  <conditionalFormatting sqref="C38">
    <cfRule type="endsWith" dxfId="569" priority="550" operator="endsWith" text=" ">
      <formula>RIGHT(C38,LEN(" "))=" "</formula>
    </cfRule>
  </conditionalFormatting>
  <conditionalFormatting sqref="T38">
    <cfRule type="expression" dxfId="568" priority="556">
      <formula>#REF!="제외"</formula>
    </cfRule>
    <cfRule type="expression" dxfId="567" priority="557">
      <formula>TEXT(#REF!,"YYYY")="2022"</formula>
    </cfRule>
    <cfRule type="expression" dxfId="566" priority="558">
      <formula>$T38="조치완료"</formula>
    </cfRule>
    <cfRule type="expression" dxfId="565" priority="559">
      <formula>$T38="조치미흡"</formula>
    </cfRule>
  </conditionalFormatting>
  <conditionalFormatting sqref="U38">
    <cfRule type="expression" dxfId="564" priority="560">
      <formula>#REF!="제외"</formula>
    </cfRule>
    <cfRule type="expression" dxfId="563" priority="561">
      <formula>ISBLANK($U38)</formula>
    </cfRule>
  </conditionalFormatting>
  <conditionalFormatting sqref="R38">
    <cfRule type="expression" dxfId="562" priority="548">
      <formula>ISBLANK($R38)</formula>
    </cfRule>
    <cfRule type="expression" dxfId="561" priority="549">
      <formula>ISBLANK($R38)</formula>
    </cfRule>
  </conditionalFormatting>
  <conditionalFormatting sqref="B38">
    <cfRule type="endsWith" dxfId="560" priority="547" operator="endsWith" text=" ">
      <formula>RIGHT(B38,LEN(" "))=" "</formula>
    </cfRule>
  </conditionalFormatting>
  <conditionalFormatting sqref="S56:T56">
    <cfRule type="expression" dxfId="559" priority="540">
      <formula>ISBLANK($S56)</formula>
    </cfRule>
  </conditionalFormatting>
  <conditionalFormatting sqref="S56">
    <cfRule type="expression" dxfId="558" priority="539">
      <formula>IF(#REF!="제외",1,0)</formula>
    </cfRule>
  </conditionalFormatting>
  <conditionalFormatting sqref="W56">
    <cfRule type="expression" dxfId="557" priority="538">
      <formula>ISBLANK($W56)</formula>
    </cfRule>
  </conditionalFormatting>
  <conditionalFormatting sqref="T56">
    <cfRule type="expression" dxfId="556" priority="537">
      <formula>#REF!="제외"="해당없음"</formula>
    </cfRule>
  </conditionalFormatting>
  <conditionalFormatting sqref="W56">
    <cfRule type="expression" dxfId="555" priority="536">
      <formula>#REF!="제외"</formula>
    </cfRule>
  </conditionalFormatting>
  <conditionalFormatting sqref="B56:D56">
    <cfRule type="endsWith" dxfId="554" priority="535" operator="endsWith" text=" ">
      <formula>RIGHT(B56,LEN(" "))=" "</formula>
    </cfRule>
  </conditionalFormatting>
  <conditionalFormatting sqref="T56">
    <cfRule type="expression" dxfId="553" priority="541">
      <formula>#REF!="제외"</formula>
    </cfRule>
    <cfRule type="expression" dxfId="552" priority="542">
      <formula>TEXT(#REF!,"YYYY")="2022"</formula>
    </cfRule>
    <cfRule type="expression" dxfId="551" priority="543">
      <formula>$T56="조치완료"</formula>
    </cfRule>
    <cfRule type="expression" dxfId="550" priority="544">
      <formula>$T56="조치미흡"</formula>
    </cfRule>
  </conditionalFormatting>
  <conditionalFormatting sqref="U56">
    <cfRule type="expression" dxfId="549" priority="545">
      <formula>#REF!="제외"</formula>
    </cfRule>
    <cfRule type="expression" dxfId="548" priority="546">
      <formula>ISBLANK($U56)</formula>
    </cfRule>
  </conditionalFormatting>
  <conditionalFormatting sqref="R56">
    <cfRule type="expression" dxfId="547" priority="533">
      <formula>ISBLANK($R56)</formula>
    </cfRule>
    <cfRule type="expression" dxfId="546" priority="534">
      <formula>ISBLANK($R56)</formula>
    </cfRule>
  </conditionalFormatting>
  <conditionalFormatting sqref="S57:T57">
    <cfRule type="expression" dxfId="545" priority="526">
      <formula>ISBLANK($S57)</formula>
    </cfRule>
  </conditionalFormatting>
  <conditionalFormatting sqref="S57">
    <cfRule type="expression" dxfId="544" priority="525">
      <formula>IF(#REF!="제외",1,0)</formula>
    </cfRule>
  </conditionalFormatting>
  <conditionalFormatting sqref="W57">
    <cfRule type="expression" dxfId="543" priority="524">
      <formula>ISBLANK($W57)</formula>
    </cfRule>
  </conditionalFormatting>
  <conditionalFormatting sqref="T57">
    <cfRule type="expression" dxfId="542" priority="523">
      <formula>#REF!="제외"="해당없음"</formula>
    </cfRule>
  </conditionalFormatting>
  <conditionalFormatting sqref="W57">
    <cfRule type="expression" dxfId="541" priority="522">
      <formula>#REF!="제외"</formula>
    </cfRule>
  </conditionalFormatting>
  <conditionalFormatting sqref="B57:D57">
    <cfRule type="endsWith" dxfId="540" priority="521" operator="endsWith" text=" ">
      <formula>RIGHT(B57,LEN(" "))=" "</formula>
    </cfRule>
  </conditionalFormatting>
  <conditionalFormatting sqref="T57">
    <cfRule type="expression" dxfId="539" priority="527">
      <formula>#REF!="제외"</formula>
    </cfRule>
    <cfRule type="expression" dxfId="538" priority="528">
      <formula>TEXT(#REF!,"YYYY")="2022"</formula>
    </cfRule>
    <cfRule type="expression" dxfId="537" priority="529">
      <formula>$T57="조치완료"</formula>
    </cfRule>
    <cfRule type="expression" dxfId="536" priority="530">
      <formula>$T57="조치미흡"</formula>
    </cfRule>
  </conditionalFormatting>
  <conditionalFormatting sqref="U57">
    <cfRule type="expression" dxfId="535" priority="531">
      <formula>#REF!="제외"</formula>
    </cfRule>
    <cfRule type="expression" dxfId="534" priority="532">
      <formula>ISBLANK($U57)</formula>
    </cfRule>
  </conditionalFormatting>
  <conditionalFormatting sqref="R57">
    <cfRule type="expression" dxfId="533" priority="519">
      <formula>ISBLANK($R57)</formula>
    </cfRule>
    <cfRule type="expression" dxfId="532" priority="520">
      <formula>ISBLANK($R57)</formula>
    </cfRule>
  </conditionalFormatting>
  <conditionalFormatting sqref="S58:T58">
    <cfRule type="expression" dxfId="531" priority="512">
      <formula>ISBLANK($S58)</formula>
    </cfRule>
  </conditionalFormatting>
  <conditionalFormatting sqref="S58">
    <cfRule type="expression" dxfId="530" priority="511">
      <formula>IF(#REF!="제외",1,0)</formula>
    </cfRule>
  </conditionalFormatting>
  <conditionalFormatting sqref="W58">
    <cfRule type="expression" dxfId="529" priority="510">
      <formula>ISBLANK($W58)</formula>
    </cfRule>
  </conditionalFormatting>
  <conditionalFormatting sqref="T58">
    <cfRule type="expression" dxfId="528" priority="509">
      <formula>#REF!="제외"="해당없음"</formula>
    </cfRule>
  </conditionalFormatting>
  <conditionalFormatting sqref="W58">
    <cfRule type="expression" dxfId="527" priority="508">
      <formula>#REF!="제외"</formula>
    </cfRule>
  </conditionalFormatting>
  <conditionalFormatting sqref="B58:D58">
    <cfRule type="endsWith" dxfId="526" priority="507" operator="endsWith" text=" ">
      <formula>RIGHT(B58,LEN(" "))=" "</formula>
    </cfRule>
  </conditionalFormatting>
  <conditionalFormatting sqref="T58">
    <cfRule type="expression" dxfId="525" priority="513">
      <formula>#REF!="제외"</formula>
    </cfRule>
    <cfRule type="expression" dxfId="524" priority="514">
      <formula>TEXT(#REF!,"YYYY")="2022"</formula>
    </cfRule>
    <cfRule type="expression" dxfId="523" priority="515">
      <formula>$T58="조치완료"</formula>
    </cfRule>
    <cfRule type="expression" dxfId="522" priority="516">
      <formula>$T58="조치미흡"</formula>
    </cfRule>
  </conditionalFormatting>
  <conditionalFormatting sqref="U58">
    <cfRule type="expression" dxfId="521" priority="517">
      <formula>#REF!="제외"</formula>
    </cfRule>
    <cfRule type="expression" dxfId="520" priority="518">
      <formula>ISBLANK($U58)</formula>
    </cfRule>
  </conditionalFormatting>
  <conditionalFormatting sqref="R58">
    <cfRule type="expression" dxfId="519" priority="505">
      <formula>ISBLANK($R58)</formula>
    </cfRule>
    <cfRule type="expression" dxfId="518" priority="506">
      <formula>ISBLANK($R58)</formula>
    </cfRule>
  </conditionalFormatting>
  <conditionalFormatting sqref="S59:T59">
    <cfRule type="expression" dxfId="517" priority="498">
      <formula>ISBLANK($S59)</formula>
    </cfRule>
  </conditionalFormatting>
  <conditionalFormatting sqref="S59">
    <cfRule type="expression" dxfId="516" priority="497">
      <formula>IF(#REF!="제외",1,0)</formula>
    </cfRule>
  </conditionalFormatting>
  <conditionalFormatting sqref="W59">
    <cfRule type="expression" dxfId="515" priority="496">
      <formula>ISBLANK($W59)</formula>
    </cfRule>
  </conditionalFormatting>
  <conditionalFormatting sqref="T59">
    <cfRule type="expression" dxfId="514" priority="495">
      <formula>#REF!="제외"="해당없음"</formula>
    </cfRule>
  </conditionalFormatting>
  <conditionalFormatting sqref="W59">
    <cfRule type="expression" dxfId="513" priority="494">
      <formula>#REF!="제외"</formula>
    </cfRule>
  </conditionalFormatting>
  <conditionalFormatting sqref="B59:D59">
    <cfRule type="endsWith" dxfId="512" priority="493" operator="endsWith" text=" ">
      <formula>RIGHT(B59,LEN(" "))=" "</formula>
    </cfRule>
  </conditionalFormatting>
  <conditionalFormatting sqref="T59">
    <cfRule type="expression" dxfId="511" priority="499">
      <formula>#REF!="제외"</formula>
    </cfRule>
    <cfRule type="expression" dxfId="510" priority="500">
      <formula>TEXT(#REF!,"YYYY")="2022"</formula>
    </cfRule>
    <cfRule type="expression" dxfId="509" priority="501">
      <formula>$T59="조치완료"</formula>
    </cfRule>
    <cfRule type="expression" dxfId="508" priority="502">
      <formula>$T59="조치미흡"</formula>
    </cfRule>
  </conditionalFormatting>
  <conditionalFormatting sqref="U59">
    <cfRule type="expression" dxfId="507" priority="503">
      <formula>#REF!="제외"</formula>
    </cfRule>
    <cfRule type="expression" dxfId="506" priority="504">
      <formula>ISBLANK($U59)</formula>
    </cfRule>
  </conditionalFormatting>
  <conditionalFormatting sqref="R59">
    <cfRule type="expression" dxfId="505" priority="491">
      <formula>ISBLANK($R59)</formula>
    </cfRule>
    <cfRule type="expression" dxfId="504" priority="492">
      <formula>ISBLANK($R59)</formula>
    </cfRule>
  </conditionalFormatting>
  <conditionalFormatting sqref="S60:T60">
    <cfRule type="expression" dxfId="503" priority="484">
      <formula>ISBLANK($S60)</formula>
    </cfRule>
  </conditionalFormatting>
  <conditionalFormatting sqref="S60">
    <cfRule type="expression" dxfId="502" priority="483">
      <formula>IF(#REF!="제외",1,0)</formula>
    </cfRule>
  </conditionalFormatting>
  <conditionalFormatting sqref="W60">
    <cfRule type="expression" dxfId="501" priority="482">
      <formula>ISBLANK($W60)</formula>
    </cfRule>
  </conditionalFormatting>
  <conditionalFormatting sqref="T60">
    <cfRule type="expression" dxfId="500" priority="481">
      <formula>#REF!="제외"="해당없음"</formula>
    </cfRule>
  </conditionalFormatting>
  <conditionalFormatting sqref="W60">
    <cfRule type="expression" dxfId="499" priority="480">
      <formula>#REF!="제외"</formula>
    </cfRule>
  </conditionalFormatting>
  <conditionalFormatting sqref="B60:D60">
    <cfRule type="endsWith" dxfId="498" priority="479" operator="endsWith" text=" ">
      <formula>RIGHT(B60,LEN(" "))=" "</formula>
    </cfRule>
  </conditionalFormatting>
  <conditionalFormatting sqref="T60">
    <cfRule type="expression" dxfId="497" priority="485">
      <formula>#REF!="제외"</formula>
    </cfRule>
    <cfRule type="expression" dxfId="496" priority="486">
      <formula>TEXT(#REF!,"YYYY")="2022"</formula>
    </cfRule>
    <cfRule type="expression" dxfId="495" priority="487">
      <formula>$T60="조치완료"</formula>
    </cfRule>
    <cfRule type="expression" dxfId="494" priority="488">
      <formula>$T60="조치미흡"</formula>
    </cfRule>
  </conditionalFormatting>
  <conditionalFormatting sqref="U60">
    <cfRule type="expression" dxfId="493" priority="489">
      <formula>#REF!="제외"</formula>
    </cfRule>
    <cfRule type="expression" dxfId="492" priority="490">
      <formula>ISBLANK($U60)</formula>
    </cfRule>
  </conditionalFormatting>
  <conditionalFormatting sqref="R60">
    <cfRule type="expression" dxfId="491" priority="477">
      <formula>ISBLANK($R60)</formula>
    </cfRule>
    <cfRule type="expression" dxfId="490" priority="478">
      <formula>ISBLANK($R60)</formula>
    </cfRule>
  </conditionalFormatting>
  <conditionalFormatting sqref="S61:T61">
    <cfRule type="expression" dxfId="489" priority="470">
      <formula>ISBLANK($S61)</formula>
    </cfRule>
  </conditionalFormatting>
  <conditionalFormatting sqref="S61">
    <cfRule type="expression" dxfId="488" priority="469">
      <formula>IF(#REF!="제외",1,0)</formula>
    </cfRule>
  </conditionalFormatting>
  <conditionalFormatting sqref="W61">
    <cfRule type="expression" dxfId="487" priority="468">
      <formula>ISBLANK($W61)</formula>
    </cfRule>
  </conditionalFormatting>
  <conditionalFormatting sqref="T61">
    <cfRule type="expression" dxfId="486" priority="467">
      <formula>#REF!="제외"="해당없음"</formula>
    </cfRule>
  </conditionalFormatting>
  <conditionalFormatting sqref="W61">
    <cfRule type="expression" dxfId="485" priority="466">
      <formula>#REF!="제외"</formula>
    </cfRule>
  </conditionalFormatting>
  <conditionalFormatting sqref="B61:D61">
    <cfRule type="endsWith" dxfId="484" priority="465" operator="endsWith" text=" ">
      <formula>RIGHT(B61,LEN(" "))=" "</formula>
    </cfRule>
  </conditionalFormatting>
  <conditionalFormatting sqref="T61">
    <cfRule type="expression" dxfId="483" priority="471">
      <formula>#REF!="제외"</formula>
    </cfRule>
    <cfRule type="expression" dxfId="482" priority="472">
      <formula>TEXT(#REF!,"YYYY")="2022"</formula>
    </cfRule>
    <cfRule type="expression" dxfId="481" priority="473">
      <formula>$T61="조치완료"</formula>
    </cfRule>
    <cfRule type="expression" dxfId="480" priority="474">
      <formula>$T61="조치미흡"</formula>
    </cfRule>
  </conditionalFormatting>
  <conditionalFormatting sqref="U61">
    <cfRule type="expression" dxfId="479" priority="475">
      <formula>#REF!="제외"</formula>
    </cfRule>
    <cfRule type="expression" dxfId="478" priority="476">
      <formula>ISBLANK($U61)</formula>
    </cfRule>
  </conditionalFormatting>
  <conditionalFormatting sqref="R61">
    <cfRule type="expression" dxfId="477" priority="463">
      <formula>ISBLANK($R61)</formula>
    </cfRule>
    <cfRule type="expression" dxfId="476" priority="464">
      <formula>ISBLANK($R61)</formula>
    </cfRule>
  </conditionalFormatting>
  <conditionalFormatting sqref="S62:T62">
    <cfRule type="expression" dxfId="475" priority="456">
      <formula>ISBLANK($S62)</formula>
    </cfRule>
  </conditionalFormatting>
  <conditionalFormatting sqref="S62">
    <cfRule type="expression" dxfId="474" priority="455">
      <formula>IF(#REF!="제외",1,0)</formula>
    </cfRule>
  </conditionalFormatting>
  <conditionalFormatting sqref="W62">
    <cfRule type="expression" dxfId="473" priority="454">
      <formula>ISBLANK($W62)</formula>
    </cfRule>
  </conditionalFormatting>
  <conditionalFormatting sqref="T62">
    <cfRule type="expression" dxfId="472" priority="453">
      <formula>#REF!="제외"="해당없음"</formula>
    </cfRule>
  </conditionalFormatting>
  <conditionalFormatting sqref="W62">
    <cfRule type="expression" dxfId="471" priority="452">
      <formula>#REF!="제외"</formula>
    </cfRule>
  </conditionalFormatting>
  <conditionalFormatting sqref="B62:D62">
    <cfRule type="endsWith" dxfId="470" priority="451" operator="endsWith" text=" ">
      <formula>RIGHT(B62,LEN(" "))=" "</formula>
    </cfRule>
  </conditionalFormatting>
  <conditionalFormatting sqref="T62">
    <cfRule type="expression" dxfId="469" priority="457">
      <formula>#REF!="제외"</formula>
    </cfRule>
    <cfRule type="expression" dxfId="468" priority="458">
      <formula>TEXT(#REF!,"YYYY")="2022"</formula>
    </cfRule>
    <cfRule type="expression" dxfId="467" priority="459">
      <formula>$T62="조치완료"</formula>
    </cfRule>
    <cfRule type="expression" dxfId="466" priority="460">
      <formula>$T62="조치미흡"</formula>
    </cfRule>
  </conditionalFormatting>
  <conditionalFormatting sqref="U62">
    <cfRule type="expression" dxfId="465" priority="461">
      <formula>#REF!="제외"</formula>
    </cfRule>
    <cfRule type="expression" dxfId="464" priority="462">
      <formula>ISBLANK($U62)</formula>
    </cfRule>
  </conditionalFormatting>
  <conditionalFormatting sqref="R62">
    <cfRule type="expression" dxfId="463" priority="449">
      <formula>ISBLANK($R62)</formula>
    </cfRule>
    <cfRule type="expression" dxfId="462" priority="450">
      <formula>ISBLANK($R62)</formula>
    </cfRule>
  </conditionalFormatting>
  <conditionalFormatting sqref="S63:T63">
    <cfRule type="expression" dxfId="461" priority="442">
      <formula>ISBLANK($S63)</formula>
    </cfRule>
  </conditionalFormatting>
  <conditionalFormatting sqref="S63">
    <cfRule type="expression" dxfId="460" priority="441">
      <formula>IF(#REF!="제외",1,0)</formula>
    </cfRule>
  </conditionalFormatting>
  <conditionalFormatting sqref="W63">
    <cfRule type="expression" dxfId="459" priority="440">
      <formula>ISBLANK($W63)</formula>
    </cfRule>
  </conditionalFormatting>
  <conditionalFormatting sqref="T63">
    <cfRule type="expression" dxfId="458" priority="439">
      <formula>#REF!="제외"="해당없음"</formula>
    </cfRule>
  </conditionalFormatting>
  <conditionalFormatting sqref="W63">
    <cfRule type="expression" dxfId="457" priority="438">
      <formula>#REF!="제외"</formula>
    </cfRule>
  </conditionalFormatting>
  <conditionalFormatting sqref="B63:D63">
    <cfRule type="endsWith" dxfId="456" priority="437" operator="endsWith" text=" ">
      <formula>RIGHT(B63,LEN(" "))=" "</formula>
    </cfRule>
  </conditionalFormatting>
  <conditionalFormatting sqref="T63">
    <cfRule type="expression" dxfId="455" priority="443">
      <formula>#REF!="제외"</formula>
    </cfRule>
    <cfRule type="expression" dxfId="454" priority="444">
      <formula>TEXT(#REF!,"YYYY")="2022"</formula>
    </cfRule>
    <cfRule type="expression" dxfId="453" priority="445">
      <formula>$T63="조치완료"</formula>
    </cfRule>
    <cfRule type="expression" dxfId="452" priority="446">
      <formula>$T63="조치미흡"</formula>
    </cfRule>
  </conditionalFormatting>
  <conditionalFormatting sqref="U63">
    <cfRule type="expression" dxfId="451" priority="447">
      <formula>#REF!="제외"</formula>
    </cfRule>
    <cfRule type="expression" dxfId="450" priority="448">
      <formula>ISBLANK($U63)</formula>
    </cfRule>
  </conditionalFormatting>
  <conditionalFormatting sqref="R63">
    <cfRule type="expression" dxfId="449" priority="435">
      <formula>ISBLANK($R63)</formula>
    </cfRule>
    <cfRule type="expression" dxfId="448" priority="436">
      <formula>ISBLANK($R63)</formula>
    </cfRule>
  </conditionalFormatting>
  <conditionalFormatting sqref="S64:T64">
    <cfRule type="expression" dxfId="447" priority="428">
      <formula>ISBLANK($S64)</formula>
    </cfRule>
  </conditionalFormatting>
  <conditionalFormatting sqref="S64">
    <cfRule type="expression" dxfId="446" priority="427">
      <formula>IF(#REF!="제외",1,0)</formula>
    </cfRule>
  </conditionalFormatting>
  <conditionalFormatting sqref="W64">
    <cfRule type="expression" dxfId="445" priority="426">
      <formula>ISBLANK($W64)</formula>
    </cfRule>
  </conditionalFormatting>
  <conditionalFormatting sqref="T64">
    <cfRule type="expression" dxfId="444" priority="425">
      <formula>#REF!="제외"="해당없음"</formula>
    </cfRule>
  </conditionalFormatting>
  <conditionalFormatting sqref="W64">
    <cfRule type="expression" dxfId="443" priority="424">
      <formula>#REF!="제외"</formula>
    </cfRule>
  </conditionalFormatting>
  <conditionalFormatting sqref="B64:D64">
    <cfRule type="endsWith" dxfId="442" priority="423" operator="endsWith" text=" ">
      <formula>RIGHT(B64,LEN(" "))=" "</formula>
    </cfRule>
  </conditionalFormatting>
  <conditionalFormatting sqref="T64">
    <cfRule type="expression" dxfId="441" priority="429">
      <formula>#REF!="제외"</formula>
    </cfRule>
    <cfRule type="expression" dxfId="440" priority="430">
      <formula>TEXT(#REF!,"YYYY")="2022"</formula>
    </cfRule>
    <cfRule type="expression" dxfId="439" priority="431">
      <formula>$T64="조치완료"</formula>
    </cfRule>
    <cfRule type="expression" dxfId="438" priority="432">
      <formula>$T64="조치미흡"</formula>
    </cfRule>
  </conditionalFormatting>
  <conditionalFormatting sqref="U64">
    <cfRule type="expression" dxfId="437" priority="433">
      <formula>#REF!="제외"</formula>
    </cfRule>
    <cfRule type="expression" dxfId="436" priority="434">
      <formula>ISBLANK($U64)</formula>
    </cfRule>
  </conditionalFormatting>
  <conditionalFormatting sqref="R64">
    <cfRule type="expression" dxfId="435" priority="421">
      <formula>ISBLANK($R64)</formula>
    </cfRule>
    <cfRule type="expression" dxfId="434" priority="422">
      <formula>ISBLANK($R64)</formula>
    </cfRule>
  </conditionalFormatting>
  <conditionalFormatting sqref="W65">
    <cfRule type="expression" dxfId="433" priority="420">
      <formula>ISBLANK($W65)</formula>
    </cfRule>
  </conditionalFormatting>
  <conditionalFormatting sqref="W65">
    <cfRule type="expression" dxfId="432" priority="419">
      <formula>#REF!="제외"</formula>
    </cfRule>
  </conditionalFormatting>
  <conditionalFormatting sqref="B65:D65">
    <cfRule type="endsWith" dxfId="431" priority="418" operator="endsWith" text=" ">
      <formula>RIGHT(B65,LEN(" "))=" "</formula>
    </cfRule>
  </conditionalFormatting>
  <conditionalFormatting sqref="S66:T66">
    <cfRule type="expression" dxfId="430" priority="411">
      <formula>ISBLANK($S66)</formula>
    </cfRule>
  </conditionalFormatting>
  <conditionalFormatting sqref="S66">
    <cfRule type="expression" dxfId="429" priority="410">
      <formula>IF(#REF!="제외",1,0)</formula>
    </cfRule>
  </conditionalFormatting>
  <conditionalFormatting sqref="W66">
    <cfRule type="expression" dxfId="428" priority="409">
      <formula>ISBLANK($W66)</formula>
    </cfRule>
  </conditionalFormatting>
  <conditionalFormatting sqref="T66">
    <cfRule type="expression" dxfId="427" priority="408">
      <formula>#REF!="제외"="해당없음"</formula>
    </cfRule>
  </conditionalFormatting>
  <conditionalFormatting sqref="W66">
    <cfRule type="expression" dxfId="426" priority="407">
      <formula>#REF!="제외"</formula>
    </cfRule>
  </conditionalFormatting>
  <conditionalFormatting sqref="B66:D66">
    <cfRule type="endsWith" dxfId="425" priority="406" operator="endsWith" text=" ">
      <formula>RIGHT(B66,LEN(" "))=" "</formula>
    </cfRule>
  </conditionalFormatting>
  <conditionalFormatting sqref="T66">
    <cfRule type="expression" dxfId="424" priority="412">
      <formula>#REF!="제외"</formula>
    </cfRule>
    <cfRule type="expression" dxfId="423" priority="413">
      <formula>TEXT(#REF!,"YYYY")="2022"</formula>
    </cfRule>
    <cfRule type="expression" dxfId="422" priority="414">
      <formula>$T66="조치완료"</formula>
    </cfRule>
    <cfRule type="expression" dxfId="421" priority="415">
      <formula>$T66="조치미흡"</formula>
    </cfRule>
  </conditionalFormatting>
  <conditionalFormatting sqref="U66">
    <cfRule type="expression" dxfId="420" priority="416">
      <formula>#REF!="제외"</formula>
    </cfRule>
    <cfRule type="expression" dxfId="419" priority="417">
      <formula>ISBLANK($U66)</formula>
    </cfRule>
  </conditionalFormatting>
  <conditionalFormatting sqref="R66">
    <cfRule type="expression" dxfId="418" priority="404">
      <formula>ISBLANK($R66)</formula>
    </cfRule>
    <cfRule type="expression" dxfId="417" priority="405">
      <formula>ISBLANK($R66)</formula>
    </cfRule>
  </conditionalFormatting>
  <conditionalFormatting sqref="S67:T67">
    <cfRule type="expression" dxfId="416" priority="397">
      <formula>ISBLANK($S67)</formula>
    </cfRule>
  </conditionalFormatting>
  <conditionalFormatting sqref="S67">
    <cfRule type="expression" dxfId="415" priority="396">
      <formula>IF(#REF!="제외",1,0)</formula>
    </cfRule>
  </conditionalFormatting>
  <conditionalFormatting sqref="W67">
    <cfRule type="expression" dxfId="414" priority="395">
      <formula>ISBLANK($W67)</formula>
    </cfRule>
  </conditionalFormatting>
  <conditionalFormatting sqref="T67">
    <cfRule type="expression" dxfId="413" priority="394">
      <formula>#REF!="제외"="해당없음"</formula>
    </cfRule>
  </conditionalFormatting>
  <conditionalFormatting sqref="W67">
    <cfRule type="expression" dxfId="412" priority="393">
      <formula>#REF!="제외"</formula>
    </cfRule>
  </conditionalFormatting>
  <conditionalFormatting sqref="B67:D67">
    <cfRule type="endsWith" dxfId="411" priority="392" operator="endsWith" text=" ">
      <formula>RIGHT(B67,LEN(" "))=" "</formula>
    </cfRule>
  </conditionalFormatting>
  <conditionalFormatting sqref="T67">
    <cfRule type="expression" dxfId="410" priority="398">
      <formula>#REF!="제외"</formula>
    </cfRule>
    <cfRule type="expression" dxfId="409" priority="399">
      <formula>TEXT(#REF!,"YYYY")="2022"</formula>
    </cfRule>
    <cfRule type="expression" dxfId="408" priority="400">
      <formula>$T67="조치완료"</formula>
    </cfRule>
    <cfRule type="expression" dxfId="407" priority="401">
      <formula>$T67="조치미흡"</formula>
    </cfRule>
  </conditionalFormatting>
  <conditionalFormatting sqref="U67">
    <cfRule type="expression" dxfId="406" priority="402">
      <formula>#REF!="제외"</formula>
    </cfRule>
    <cfRule type="expression" dxfId="405" priority="403">
      <formula>ISBLANK($U67)</formula>
    </cfRule>
  </conditionalFormatting>
  <conditionalFormatting sqref="R67">
    <cfRule type="expression" dxfId="404" priority="390">
      <formula>ISBLANK($R67)</formula>
    </cfRule>
    <cfRule type="expression" dxfId="403" priority="391">
      <formula>ISBLANK($R67)</formula>
    </cfRule>
  </conditionalFormatting>
  <conditionalFormatting sqref="S68:T68">
    <cfRule type="expression" dxfId="402" priority="383">
      <formula>ISBLANK($S68)</formula>
    </cfRule>
  </conditionalFormatting>
  <conditionalFormatting sqref="S68">
    <cfRule type="expression" dxfId="401" priority="382">
      <formula>IF(#REF!="제외",1,0)</formula>
    </cfRule>
  </conditionalFormatting>
  <conditionalFormatting sqref="W68">
    <cfRule type="expression" dxfId="400" priority="381">
      <formula>ISBLANK($W68)</formula>
    </cfRule>
  </conditionalFormatting>
  <conditionalFormatting sqref="T68">
    <cfRule type="expression" dxfId="399" priority="380">
      <formula>#REF!="제외"="해당없음"</formula>
    </cfRule>
  </conditionalFormatting>
  <conditionalFormatting sqref="W68">
    <cfRule type="expression" dxfId="398" priority="379">
      <formula>#REF!="제외"</formula>
    </cfRule>
  </conditionalFormatting>
  <conditionalFormatting sqref="B68:D68">
    <cfRule type="endsWith" dxfId="397" priority="378" operator="endsWith" text=" ">
      <formula>RIGHT(B68,LEN(" "))=" "</formula>
    </cfRule>
  </conditionalFormatting>
  <conditionalFormatting sqref="T68">
    <cfRule type="expression" dxfId="396" priority="384">
      <formula>#REF!="제외"</formula>
    </cfRule>
    <cfRule type="expression" dxfId="395" priority="385">
      <formula>TEXT(#REF!,"YYYY")="2022"</formula>
    </cfRule>
    <cfRule type="expression" dxfId="394" priority="386">
      <formula>$T68="조치완료"</formula>
    </cfRule>
    <cfRule type="expression" dxfId="393" priority="387">
      <formula>$T68="조치미흡"</formula>
    </cfRule>
  </conditionalFormatting>
  <conditionalFormatting sqref="U68">
    <cfRule type="expression" dxfId="392" priority="388">
      <formula>#REF!="제외"</formula>
    </cfRule>
    <cfRule type="expression" dxfId="391" priority="389">
      <formula>ISBLANK($U68)</formula>
    </cfRule>
  </conditionalFormatting>
  <conditionalFormatting sqref="R68">
    <cfRule type="expression" dxfId="390" priority="376">
      <formula>ISBLANK($R68)</formula>
    </cfRule>
    <cfRule type="expression" dxfId="389" priority="377">
      <formula>ISBLANK($R68)</formula>
    </cfRule>
  </conditionalFormatting>
  <conditionalFormatting sqref="S65:T65">
    <cfRule type="expression" dxfId="388" priority="369">
      <formula>ISBLANK($S65)</formula>
    </cfRule>
  </conditionalFormatting>
  <conditionalFormatting sqref="S65">
    <cfRule type="expression" dxfId="387" priority="368">
      <formula>IF(#REF!="제외",1,0)</formula>
    </cfRule>
  </conditionalFormatting>
  <conditionalFormatting sqref="T65">
    <cfRule type="expression" dxfId="386" priority="367">
      <formula>#REF!="제외"="해당없음"</formula>
    </cfRule>
  </conditionalFormatting>
  <conditionalFormatting sqref="T65">
    <cfRule type="expression" dxfId="385" priority="370">
      <formula>#REF!="제외"</formula>
    </cfRule>
    <cfRule type="expression" dxfId="384" priority="371">
      <formula>TEXT(#REF!,"YYYY")="2022"</formula>
    </cfRule>
    <cfRule type="expression" dxfId="383" priority="372">
      <formula>$T65="조치완료"</formula>
    </cfRule>
    <cfRule type="expression" dxfId="382" priority="373">
      <formula>$T65="조치미흡"</formula>
    </cfRule>
  </conditionalFormatting>
  <conditionalFormatting sqref="U65">
    <cfRule type="expression" dxfId="381" priority="374">
      <formula>#REF!="제외"</formula>
    </cfRule>
    <cfRule type="expression" dxfId="380" priority="375">
      <formula>ISBLANK($U65)</formula>
    </cfRule>
  </conditionalFormatting>
  <conditionalFormatting sqref="R65">
    <cfRule type="expression" dxfId="379" priority="365">
      <formula>ISBLANK($R65)</formula>
    </cfRule>
    <cfRule type="expression" dxfId="378" priority="366">
      <formula>ISBLANK($R65)</formula>
    </cfRule>
  </conditionalFormatting>
  <conditionalFormatting sqref="S69:T69">
    <cfRule type="expression" dxfId="377" priority="358">
      <formula>ISBLANK($S69)</formula>
    </cfRule>
  </conditionalFormatting>
  <conditionalFormatting sqref="S69">
    <cfRule type="expression" dxfId="376" priority="357">
      <formula>IF(#REF!="제외",1,0)</formula>
    </cfRule>
  </conditionalFormatting>
  <conditionalFormatting sqref="W69">
    <cfRule type="expression" dxfId="375" priority="356">
      <formula>ISBLANK($W69)</formula>
    </cfRule>
  </conditionalFormatting>
  <conditionalFormatting sqref="T69">
    <cfRule type="expression" dxfId="374" priority="355">
      <formula>#REF!="제외"="해당없음"</formula>
    </cfRule>
  </conditionalFormatting>
  <conditionalFormatting sqref="W69">
    <cfRule type="expression" dxfId="373" priority="354">
      <formula>#REF!="제외"</formula>
    </cfRule>
  </conditionalFormatting>
  <conditionalFormatting sqref="B69:D69">
    <cfRule type="endsWith" dxfId="372" priority="353" operator="endsWith" text=" ">
      <formula>RIGHT(B69,LEN(" "))=" "</formula>
    </cfRule>
  </conditionalFormatting>
  <conditionalFormatting sqref="T69">
    <cfRule type="expression" dxfId="371" priority="359">
      <formula>#REF!="제외"</formula>
    </cfRule>
    <cfRule type="expression" dxfId="370" priority="360">
      <formula>TEXT(#REF!,"YYYY")="2022"</formula>
    </cfRule>
    <cfRule type="expression" dxfId="369" priority="361">
      <formula>$T69="조치완료"</formula>
    </cfRule>
    <cfRule type="expression" dxfId="368" priority="362">
      <formula>$T69="조치미흡"</formula>
    </cfRule>
  </conditionalFormatting>
  <conditionalFormatting sqref="U69">
    <cfRule type="expression" dxfId="367" priority="363">
      <formula>#REF!="제외"</formula>
    </cfRule>
    <cfRule type="expression" dxfId="366" priority="364">
      <formula>ISBLANK($U69)</formula>
    </cfRule>
  </conditionalFormatting>
  <conditionalFormatting sqref="R69">
    <cfRule type="expression" dxfId="365" priority="351">
      <formula>ISBLANK($R69)</formula>
    </cfRule>
    <cfRule type="expression" dxfId="364" priority="352">
      <formula>ISBLANK($R69)</formula>
    </cfRule>
  </conditionalFormatting>
  <conditionalFormatting sqref="S70:T70">
    <cfRule type="expression" dxfId="363" priority="344">
      <formula>ISBLANK($S70)</formula>
    </cfRule>
  </conditionalFormatting>
  <conditionalFormatting sqref="S70">
    <cfRule type="expression" dxfId="362" priority="343">
      <formula>IF(#REF!="제외",1,0)</formula>
    </cfRule>
  </conditionalFormatting>
  <conditionalFormatting sqref="W70">
    <cfRule type="expression" dxfId="361" priority="342">
      <formula>ISBLANK($W70)</formula>
    </cfRule>
  </conditionalFormatting>
  <conditionalFormatting sqref="T70">
    <cfRule type="expression" dxfId="360" priority="341">
      <formula>#REF!="제외"="해당없음"</formula>
    </cfRule>
  </conditionalFormatting>
  <conditionalFormatting sqref="W70">
    <cfRule type="expression" dxfId="359" priority="340">
      <formula>#REF!="제외"</formula>
    </cfRule>
  </conditionalFormatting>
  <conditionalFormatting sqref="B70:D70">
    <cfRule type="endsWith" dxfId="358" priority="339" operator="endsWith" text=" ">
      <formula>RIGHT(B70,LEN(" "))=" "</formula>
    </cfRule>
  </conditionalFormatting>
  <conditionalFormatting sqref="T70">
    <cfRule type="expression" dxfId="357" priority="345">
      <formula>#REF!="제외"</formula>
    </cfRule>
    <cfRule type="expression" dxfId="356" priority="346">
      <formula>TEXT(#REF!,"YYYY")="2022"</formula>
    </cfRule>
    <cfRule type="expression" dxfId="355" priority="347">
      <formula>$T70="조치완료"</formula>
    </cfRule>
    <cfRule type="expression" dxfId="354" priority="348">
      <formula>$T70="조치미흡"</formula>
    </cfRule>
  </conditionalFormatting>
  <conditionalFormatting sqref="U70">
    <cfRule type="expression" dxfId="353" priority="349">
      <formula>#REF!="제외"</formula>
    </cfRule>
    <cfRule type="expression" dxfId="352" priority="350">
      <formula>ISBLANK($U70)</formula>
    </cfRule>
  </conditionalFormatting>
  <conditionalFormatting sqref="R70">
    <cfRule type="expression" dxfId="351" priority="337">
      <formula>ISBLANK($R70)</formula>
    </cfRule>
    <cfRule type="expression" dxfId="350" priority="338">
      <formula>ISBLANK($R70)</formula>
    </cfRule>
  </conditionalFormatting>
  <conditionalFormatting sqref="S71:T71">
    <cfRule type="expression" dxfId="349" priority="330">
      <formula>ISBLANK($S71)</formula>
    </cfRule>
  </conditionalFormatting>
  <conditionalFormatting sqref="S71">
    <cfRule type="expression" dxfId="348" priority="329">
      <formula>IF(#REF!="제외",1,0)</formula>
    </cfRule>
  </conditionalFormatting>
  <conditionalFormatting sqref="W71">
    <cfRule type="expression" dxfId="347" priority="328">
      <formula>ISBLANK($W71)</formula>
    </cfRule>
  </conditionalFormatting>
  <conditionalFormatting sqref="T71">
    <cfRule type="expression" dxfId="346" priority="327">
      <formula>#REF!="제외"="해당없음"</formula>
    </cfRule>
  </conditionalFormatting>
  <conditionalFormatting sqref="W71">
    <cfRule type="expression" dxfId="345" priority="326">
      <formula>#REF!="제외"</formula>
    </cfRule>
  </conditionalFormatting>
  <conditionalFormatting sqref="B71:D71">
    <cfRule type="endsWith" dxfId="344" priority="325" operator="endsWith" text=" ">
      <formula>RIGHT(B71,LEN(" "))=" "</formula>
    </cfRule>
  </conditionalFormatting>
  <conditionalFormatting sqref="T71">
    <cfRule type="expression" dxfId="343" priority="331">
      <formula>#REF!="제외"</formula>
    </cfRule>
    <cfRule type="expression" dxfId="342" priority="332">
      <formula>TEXT(#REF!,"YYYY")="2022"</formula>
    </cfRule>
    <cfRule type="expression" dxfId="341" priority="333">
      <formula>$T71="조치완료"</formula>
    </cfRule>
    <cfRule type="expression" dxfId="340" priority="334">
      <formula>$T71="조치미흡"</formula>
    </cfRule>
  </conditionalFormatting>
  <conditionalFormatting sqref="U71">
    <cfRule type="expression" dxfId="339" priority="335">
      <formula>#REF!="제외"</formula>
    </cfRule>
    <cfRule type="expression" dxfId="338" priority="336">
      <formula>ISBLANK($U71)</formula>
    </cfRule>
  </conditionalFormatting>
  <conditionalFormatting sqref="R71">
    <cfRule type="expression" dxfId="337" priority="323">
      <formula>ISBLANK($R71)</formula>
    </cfRule>
    <cfRule type="expression" dxfId="336" priority="324">
      <formula>ISBLANK($R71)</formula>
    </cfRule>
  </conditionalFormatting>
  <conditionalFormatting sqref="S72:T72">
    <cfRule type="expression" dxfId="335" priority="316">
      <formula>ISBLANK($S72)</formula>
    </cfRule>
  </conditionalFormatting>
  <conditionalFormatting sqref="S72">
    <cfRule type="expression" dxfId="334" priority="315">
      <formula>IF(#REF!="제외",1,0)</formula>
    </cfRule>
  </conditionalFormatting>
  <conditionalFormatting sqref="W72">
    <cfRule type="expression" dxfId="333" priority="314">
      <formula>ISBLANK($W72)</formula>
    </cfRule>
  </conditionalFormatting>
  <conditionalFormatting sqref="T72">
    <cfRule type="expression" dxfId="332" priority="313">
      <formula>#REF!="제외"="해당없음"</formula>
    </cfRule>
  </conditionalFormatting>
  <conditionalFormatting sqref="W72">
    <cfRule type="expression" dxfId="331" priority="312">
      <formula>#REF!="제외"</formula>
    </cfRule>
  </conditionalFormatting>
  <conditionalFormatting sqref="B72:D72">
    <cfRule type="endsWith" dxfId="330" priority="311" operator="endsWith" text=" ">
      <formula>RIGHT(B72,LEN(" "))=" "</formula>
    </cfRule>
  </conditionalFormatting>
  <conditionalFormatting sqref="T72">
    <cfRule type="expression" dxfId="329" priority="317">
      <formula>#REF!="제외"</formula>
    </cfRule>
    <cfRule type="expression" dxfId="328" priority="318">
      <formula>TEXT(#REF!,"YYYY")="2022"</formula>
    </cfRule>
    <cfRule type="expression" dxfId="327" priority="319">
      <formula>$T72="조치완료"</formula>
    </cfRule>
    <cfRule type="expression" dxfId="326" priority="320">
      <formula>$T72="조치미흡"</formula>
    </cfRule>
  </conditionalFormatting>
  <conditionalFormatting sqref="U72">
    <cfRule type="expression" dxfId="325" priority="321">
      <formula>#REF!="제외"</formula>
    </cfRule>
    <cfRule type="expression" dxfId="324" priority="322">
      <formula>ISBLANK($U72)</formula>
    </cfRule>
  </conditionalFormatting>
  <conditionalFormatting sqref="R72">
    <cfRule type="expression" dxfId="323" priority="309">
      <formula>ISBLANK($R72)</formula>
    </cfRule>
    <cfRule type="expression" dxfId="322" priority="310">
      <formula>ISBLANK($R72)</formula>
    </cfRule>
  </conditionalFormatting>
  <conditionalFormatting sqref="S73:T73">
    <cfRule type="expression" dxfId="321" priority="302">
      <formula>ISBLANK($S73)</formula>
    </cfRule>
  </conditionalFormatting>
  <conditionalFormatting sqref="S73">
    <cfRule type="expression" dxfId="320" priority="301">
      <formula>IF(#REF!="제외",1,0)</formula>
    </cfRule>
  </conditionalFormatting>
  <conditionalFormatting sqref="W73">
    <cfRule type="expression" dxfId="319" priority="300">
      <formula>ISBLANK($W73)</formula>
    </cfRule>
  </conditionalFormatting>
  <conditionalFormatting sqref="T73">
    <cfRule type="expression" dxfId="318" priority="299">
      <formula>#REF!="제외"="해당없음"</formula>
    </cfRule>
  </conditionalFormatting>
  <conditionalFormatting sqref="W73">
    <cfRule type="expression" dxfId="317" priority="298">
      <formula>#REF!="제외"</formula>
    </cfRule>
  </conditionalFormatting>
  <conditionalFormatting sqref="B73:D73">
    <cfRule type="endsWith" dxfId="316" priority="297" operator="endsWith" text=" ">
      <formula>RIGHT(B73,LEN(" "))=" "</formula>
    </cfRule>
  </conditionalFormatting>
  <conditionalFormatting sqref="T73">
    <cfRule type="expression" dxfId="315" priority="303">
      <formula>#REF!="제외"</formula>
    </cfRule>
    <cfRule type="expression" dxfId="314" priority="304">
      <formula>TEXT(#REF!,"YYYY")="2022"</formula>
    </cfRule>
    <cfRule type="expression" dxfId="313" priority="305">
      <formula>$T73="조치완료"</formula>
    </cfRule>
    <cfRule type="expression" dxfId="312" priority="306">
      <formula>$T73="조치미흡"</formula>
    </cfRule>
  </conditionalFormatting>
  <conditionalFormatting sqref="U73">
    <cfRule type="expression" dxfId="311" priority="307">
      <formula>#REF!="제외"</formula>
    </cfRule>
    <cfRule type="expression" dxfId="310" priority="308">
      <formula>ISBLANK($U73)</formula>
    </cfRule>
  </conditionalFormatting>
  <conditionalFormatting sqref="R73">
    <cfRule type="expression" dxfId="309" priority="295">
      <formula>ISBLANK($R73)</formula>
    </cfRule>
    <cfRule type="expression" dxfId="308" priority="296">
      <formula>ISBLANK($R73)</formula>
    </cfRule>
  </conditionalFormatting>
  <conditionalFormatting sqref="S74:T85">
    <cfRule type="expression" dxfId="307" priority="288">
      <formula>ISBLANK($S74)</formula>
    </cfRule>
  </conditionalFormatting>
  <conditionalFormatting sqref="S74:S85">
    <cfRule type="expression" dxfId="306" priority="287">
      <formula>IF(#REF!="제외",1,0)</formula>
    </cfRule>
  </conditionalFormatting>
  <conditionalFormatting sqref="T74:T85">
    <cfRule type="expression" dxfId="305" priority="286">
      <formula>#REF!="제외"="해당없음"</formula>
    </cfRule>
  </conditionalFormatting>
  <conditionalFormatting sqref="T74:T85">
    <cfRule type="expression" dxfId="304" priority="289">
      <formula>#REF!="제외"</formula>
    </cfRule>
    <cfRule type="expression" dxfId="303" priority="290">
      <formula>TEXT(#REF!,"YYYY")="2022"</formula>
    </cfRule>
    <cfRule type="expression" dxfId="302" priority="291">
      <formula>$T74="조치완료"</formula>
    </cfRule>
    <cfRule type="expression" dxfId="301" priority="292">
      <formula>$T74="조치미흡"</formula>
    </cfRule>
  </conditionalFormatting>
  <conditionalFormatting sqref="U74:U85">
    <cfRule type="expression" dxfId="300" priority="293">
      <formula>#REF!="제외"</formula>
    </cfRule>
    <cfRule type="expression" dxfId="299" priority="294">
      <formula>ISBLANK($U74)</formula>
    </cfRule>
  </conditionalFormatting>
  <conditionalFormatting sqref="R74:R85">
    <cfRule type="expression" dxfId="298" priority="284">
      <formula>ISBLANK($R74)</formula>
    </cfRule>
    <cfRule type="expression" dxfId="297" priority="285">
      <formula>ISBLANK($R74)</formula>
    </cfRule>
  </conditionalFormatting>
  <conditionalFormatting sqref="W74:W85">
    <cfRule type="expression" dxfId="296" priority="283">
      <formula>ISBLANK($W74)</formula>
    </cfRule>
  </conditionalFormatting>
  <conditionalFormatting sqref="W74:W85">
    <cfRule type="expression" dxfId="295" priority="282">
      <formula>#REF!="제외"</formula>
    </cfRule>
  </conditionalFormatting>
  <conditionalFormatting sqref="S86:T86">
    <cfRule type="expression" dxfId="294" priority="275">
      <formula>ISBLANK($S86)</formula>
    </cfRule>
  </conditionalFormatting>
  <conditionalFormatting sqref="S86">
    <cfRule type="expression" dxfId="293" priority="274">
      <formula>IF(#REF!="제외",1,0)</formula>
    </cfRule>
  </conditionalFormatting>
  <conditionalFormatting sqref="W86">
    <cfRule type="expression" dxfId="292" priority="273">
      <formula>ISBLANK($W86)</formula>
    </cfRule>
  </conditionalFormatting>
  <conditionalFormatting sqref="T86">
    <cfRule type="expression" dxfId="291" priority="272">
      <formula>#REF!="제외"="해당없음"</formula>
    </cfRule>
  </conditionalFormatting>
  <conditionalFormatting sqref="W86">
    <cfRule type="expression" dxfId="290" priority="271">
      <formula>#REF!="제외"</formula>
    </cfRule>
  </conditionalFormatting>
  <conditionalFormatting sqref="B86:D86">
    <cfRule type="endsWith" dxfId="289" priority="270" operator="endsWith" text=" ">
      <formula>RIGHT(B86,LEN(" "))=" "</formula>
    </cfRule>
  </conditionalFormatting>
  <conditionalFormatting sqref="T86">
    <cfRule type="expression" dxfId="288" priority="276">
      <formula>#REF!="제외"</formula>
    </cfRule>
    <cfRule type="expression" dxfId="287" priority="277">
      <formula>TEXT(#REF!,"YYYY")="2022"</formula>
    </cfRule>
    <cfRule type="expression" dxfId="286" priority="278">
      <formula>$T86="조치완료"</formula>
    </cfRule>
    <cfRule type="expression" dxfId="285" priority="279">
      <formula>$T86="조치미흡"</formula>
    </cfRule>
  </conditionalFormatting>
  <conditionalFormatting sqref="U86">
    <cfRule type="expression" dxfId="284" priority="280">
      <formula>#REF!="제외"</formula>
    </cfRule>
    <cfRule type="expression" dxfId="283" priority="281">
      <formula>ISBLANK($U86)</formula>
    </cfRule>
  </conditionalFormatting>
  <conditionalFormatting sqref="R86">
    <cfRule type="expression" dxfId="282" priority="268">
      <formula>ISBLANK($R86)</formula>
    </cfRule>
    <cfRule type="expression" dxfId="281" priority="269">
      <formula>ISBLANK($R86)</formula>
    </cfRule>
  </conditionalFormatting>
  <conditionalFormatting sqref="S90:T90">
    <cfRule type="expression" dxfId="280" priority="261">
      <formula>ISBLANK($S90)</formula>
    </cfRule>
  </conditionalFormatting>
  <conditionalFormatting sqref="S90">
    <cfRule type="expression" dxfId="279" priority="260">
      <formula>IF(#REF!="제외",1,0)</formula>
    </cfRule>
  </conditionalFormatting>
  <conditionalFormatting sqref="W90">
    <cfRule type="expression" dxfId="278" priority="259">
      <formula>ISBLANK($W90)</formula>
    </cfRule>
  </conditionalFormatting>
  <conditionalFormatting sqref="T90">
    <cfRule type="expression" dxfId="277" priority="258">
      <formula>#REF!="제외"="해당없음"</formula>
    </cfRule>
  </conditionalFormatting>
  <conditionalFormatting sqref="W90">
    <cfRule type="expression" dxfId="276" priority="257">
      <formula>#REF!="제외"</formula>
    </cfRule>
  </conditionalFormatting>
  <conditionalFormatting sqref="B90 D90">
    <cfRule type="endsWith" dxfId="275" priority="256" operator="endsWith" text=" ">
      <formula>RIGHT(B90,LEN(" "))=" "</formula>
    </cfRule>
  </conditionalFormatting>
  <conditionalFormatting sqref="T90">
    <cfRule type="expression" dxfId="274" priority="262">
      <formula>#REF!="제외"</formula>
    </cfRule>
    <cfRule type="expression" dxfId="273" priority="263">
      <formula>TEXT(#REF!,"YYYY")="2022"</formula>
    </cfRule>
    <cfRule type="expression" dxfId="272" priority="264">
      <formula>$T90="조치완료"</formula>
    </cfRule>
    <cfRule type="expression" dxfId="271" priority="265">
      <formula>$T90="조치미흡"</formula>
    </cfRule>
  </conditionalFormatting>
  <conditionalFormatting sqref="U90">
    <cfRule type="expression" dxfId="270" priority="266">
      <formula>#REF!="제외"</formula>
    </cfRule>
    <cfRule type="expression" dxfId="269" priority="267">
      <formula>ISBLANK($U90)</formula>
    </cfRule>
  </conditionalFormatting>
  <conditionalFormatting sqref="R90">
    <cfRule type="expression" dxfId="268" priority="254">
      <formula>ISBLANK($R90)</formula>
    </cfRule>
    <cfRule type="expression" dxfId="267" priority="255">
      <formula>ISBLANK($R90)</formula>
    </cfRule>
  </conditionalFormatting>
  <conditionalFormatting sqref="S93:T93">
    <cfRule type="expression" dxfId="266" priority="247">
      <formula>ISBLANK($S93)</formula>
    </cfRule>
  </conditionalFormatting>
  <conditionalFormatting sqref="S93">
    <cfRule type="expression" dxfId="265" priority="246">
      <formula>IF(#REF!="제외",1,0)</formula>
    </cfRule>
  </conditionalFormatting>
  <conditionalFormatting sqref="W93">
    <cfRule type="expression" dxfId="264" priority="245">
      <formula>ISBLANK($W93)</formula>
    </cfRule>
  </conditionalFormatting>
  <conditionalFormatting sqref="T93">
    <cfRule type="expression" dxfId="263" priority="244">
      <formula>#REF!="제외"="해당없음"</formula>
    </cfRule>
  </conditionalFormatting>
  <conditionalFormatting sqref="W93">
    <cfRule type="expression" dxfId="262" priority="243">
      <formula>#REF!="제외"</formula>
    </cfRule>
  </conditionalFormatting>
  <conditionalFormatting sqref="B93 D93">
    <cfRule type="endsWith" dxfId="261" priority="242" operator="endsWith" text=" ">
      <formula>RIGHT(B93,LEN(" "))=" "</formula>
    </cfRule>
  </conditionalFormatting>
  <conditionalFormatting sqref="T93">
    <cfRule type="expression" dxfId="260" priority="248">
      <formula>#REF!="제외"</formula>
    </cfRule>
    <cfRule type="expression" dxfId="259" priority="249">
      <formula>TEXT(#REF!,"YYYY")="2022"</formula>
    </cfRule>
    <cfRule type="expression" dxfId="258" priority="250">
      <formula>$T93="조치완료"</formula>
    </cfRule>
    <cfRule type="expression" dxfId="257" priority="251">
      <formula>$T93="조치미흡"</formula>
    </cfRule>
  </conditionalFormatting>
  <conditionalFormatting sqref="U93">
    <cfRule type="expression" dxfId="256" priority="252">
      <formula>#REF!="제외"</formula>
    </cfRule>
    <cfRule type="expression" dxfId="255" priority="253">
      <formula>ISBLANK($U93)</formula>
    </cfRule>
  </conditionalFormatting>
  <conditionalFormatting sqref="R93">
    <cfRule type="expression" dxfId="254" priority="240">
      <formula>ISBLANK($R93)</formula>
    </cfRule>
    <cfRule type="expression" dxfId="253" priority="241">
      <formula>ISBLANK($R93)</formula>
    </cfRule>
  </conditionalFormatting>
  <conditionalFormatting sqref="S87:T87">
    <cfRule type="expression" dxfId="252" priority="233">
      <formula>ISBLANK($S87)</formula>
    </cfRule>
  </conditionalFormatting>
  <conditionalFormatting sqref="S87">
    <cfRule type="expression" dxfId="251" priority="232">
      <formula>IF(#REF!="제외",1,0)</formula>
    </cfRule>
  </conditionalFormatting>
  <conditionalFormatting sqref="W87">
    <cfRule type="expression" dxfId="250" priority="231">
      <formula>ISBLANK($W87)</formula>
    </cfRule>
  </conditionalFormatting>
  <conditionalFormatting sqref="T87">
    <cfRule type="expression" dxfId="249" priority="230">
      <formula>#REF!="제외"="해당없음"</formula>
    </cfRule>
  </conditionalFormatting>
  <conditionalFormatting sqref="W87">
    <cfRule type="expression" dxfId="248" priority="229">
      <formula>#REF!="제외"</formula>
    </cfRule>
  </conditionalFormatting>
  <conditionalFormatting sqref="B87 D87">
    <cfRule type="endsWith" dxfId="247" priority="228" operator="endsWith" text=" ">
      <formula>RIGHT(B87,LEN(" "))=" "</formula>
    </cfRule>
  </conditionalFormatting>
  <conditionalFormatting sqref="T87">
    <cfRule type="expression" dxfId="246" priority="234">
      <formula>#REF!="제외"</formula>
    </cfRule>
    <cfRule type="expression" dxfId="245" priority="235">
      <formula>TEXT(#REF!,"YYYY")="2022"</formula>
    </cfRule>
    <cfRule type="expression" dxfId="244" priority="236">
      <formula>$T87="조치완료"</formula>
    </cfRule>
    <cfRule type="expression" dxfId="243" priority="237">
      <formula>$T87="조치미흡"</formula>
    </cfRule>
  </conditionalFormatting>
  <conditionalFormatting sqref="U87">
    <cfRule type="expression" dxfId="242" priority="238">
      <formula>#REF!="제외"</formula>
    </cfRule>
    <cfRule type="expression" dxfId="241" priority="239">
      <formula>ISBLANK($U87)</formula>
    </cfRule>
  </conditionalFormatting>
  <conditionalFormatting sqref="R87">
    <cfRule type="expression" dxfId="240" priority="226">
      <formula>ISBLANK($R87)</formula>
    </cfRule>
    <cfRule type="expression" dxfId="239" priority="227">
      <formula>ISBLANK($R87)</formula>
    </cfRule>
  </conditionalFormatting>
  <conditionalFormatting sqref="S88:T88">
    <cfRule type="expression" dxfId="238" priority="219">
      <formula>ISBLANK($S88)</formula>
    </cfRule>
  </conditionalFormatting>
  <conditionalFormatting sqref="S88">
    <cfRule type="expression" dxfId="237" priority="218">
      <formula>IF(#REF!="제외",1,0)</formula>
    </cfRule>
  </conditionalFormatting>
  <conditionalFormatting sqref="W88">
    <cfRule type="expression" dxfId="236" priority="217">
      <formula>ISBLANK($W88)</formula>
    </cfRule>
  </conditionalFormatting>
  <conditionalFormatting sqref="T88">
    <cfRule type="expression" dxfId="235" priority="216">
      <formula>#REF!="제외"="해당없음"</formula>
    </cfRule>
  </conditionalFormatting>
  <conditionalFormatting sqref="W88">
    <cfRule type="expression" dxfId="234" priority="215">
      <formula>#REF!="제외"</formula>
    </cfRule>
  </conditionalFormatting>
  <conditionalFormatting sqref="B88 D88">
    <cfRule type="endsWith" dxfId="233" priority="214" operator="endsWith" text=" ">
      <formula>RIGHT(B88,LEN(" "))=" "</formula>
    </cfRule>
  </conditionalFormatting>
  <conditionalFormatting sqref="T88">
    <cfRule type="expression" dxfId="232" priority="220">
      <formula>#REF!="제외"</formula>
    </cfRule>
    <cfRule type="expression" dxfId="231" priority="221">
      <formula>TEXT(#REF!,"YYYY")="2022"</formula>
    </cfRule>
    <cfRule type="expression" dxfId="230" priority="222">
      <formula>$T88="조치완료"</formula>
    </cfRule>
    <cfRule type="expression" dxfId="229" priority="223">
      <formula>$T88="조치미흡"</formula>
    </cfRule>
  </conditionalFormatting>
  <conditionalFormatting sqref="U88">
    <cfRule type="expression" dxfId="228" priority="224">
      <formula>#REF!="제외"</formula>
    </cfRule>
    <cfRule type="expression" dxfId="227" priority="225">
      <formula>ISBLANK($U88)</formula>
    </cfRule>
  </conditionalFormatting>
  <conditionalFormatting sqref="R88">
    <cfRule type="expression" dxfId="226" priority="212">
      <formula>ISBLANK($R88)</formula>
    </cfRule>
    <cfRule type="expression" dxfId="225" priority="213">
      <formula>ISBLANK($R88)</formula>
    </cfRule>
  </conditionalFormatting>
  <conditionalFormatting sqref="S94:T94">
    <cfRule type="expression" dxfId="224" priority="205">
      <formula>ISBLANK($S94)</formula>
    </cfRule>
  </conditionalFormatting>
  <conditionalFormatting sqref="S94">
    <cfRule type="expression" dxfId="223" priority="204">
      <formula>IF(#REF!="제외",1,0)</formula>
    </cfRule>
  </conditionalFormatting>
  <conditionalFormatting sqref="W94">
    <cfRule type="expression" dxfId="222" priority="203">
      <formula>ISBLANK($W94)</formula>
    </cfRule>
  </conditionalFormatting>
  <conditionalFormatting sqref="T94">
    <cfRule type="expression" dxfId="221" priority="202">
      <formula>#REF!="제외"="해당없음"</formula>
    </cfRule>
  </conditionalFormatting>
  <conditionalFormatting sqref="W94">
    <cfRule type="expression" dxfId="220" priority="201">
      <formula>#REF!="제외"</formula>
    </cfRule>
  </conditionalFormatting>
  <conditionalFormatting sqref="B94 D94">
    <cfRule type="endsWith" dxfId="219" priority="200" operator="endsWith" text=" ">
      <formula>RIGHT(B94,LEN(" "))=" "</formula>
    </cfRule>
  </conditionalFormatting>
  <conditionalFormatting sqref="T94">
    <cfRule type="expression" dxfId="218" priority="206">
      <formula>#REF!="제외"</formula>
    </cfRule>
    <cfRule type="expression" dxfId="217" priority="207">
      <formula>TEXT(#REF!,"YYYY")="2022"</formula>
    </cfRule>
    <cfRule type="expression" dxfId="216" priority="208">
      <formula>$T94="조치완료"</formula>
    </cfRule>
    <cfRule type="expression" dxfId="215" priority="209">
      <formula>$T94="조치미흡"</formula>
    </cfRule>
  </conditionalFormatting>
  <conditionalFormatting sqref="U94">
    <cfRule type="expression" dxfId="214" priority="210">
      <formula>#REF!="제외"</formula>
    </cfRule>
    <cfRule type="expression" dxfId="213" priority="211">
      <formula>ISBLANK($U94)</formula>
    </cfRule>
  </conditionalFormatting>
  <conditionalFormatting sqref="R94">
    <cfRule type="expression" dxfId="212" priority="198">
      <formula>ISBLANK($R94)</formula>
    </cfRule>
    <cfRule type="expression" dxfId="211" priority="199">
      <formula>ISBLANK($R94)</formula>
    </cfRule>
  </conditionalFormatting>
  <conditionalFormatting sqref="S100:T100">
    <cfRule type="expression" dxfId="210" priority="191">
      <formula>ISBLANK($S100)</formula>
    </cfRule>
  </conditionalFormatting>
  <conditionalFormatting sqref="S100">
    <cfRule type="expression" dxfId="209" priority="190">
      <formula>IF(#REF!="제외",1,0)</formula>
    </cfRule>
  </conditionalFormatting>
  <conditionalFormatting sqref="W100">
    <cfRule type="expression" dxfId="208" priority="189">
      <formula>ISBLANK($W100)</formula>
    </cfRule>
  </conditionalFormatting>
  <conditionalFormatting sqref="T100">
    <cfRule type="expression" dxfId="207" priority="188">
      <formula>#REF!="제외"="해당없음"</formula>
    </cfRule>
  </conditionalFormatting>
  <conditionalFormatting sqref="W100">
    <cfRule type="expression" dxfId="206" priority="187">
      <formula>#REF!="제외"</formula>
    </cfRule>
  </conditionalFormatting>
  <conditionalFormatting sqref="B100 D100">
    <cfRule type="endsWith" dxfId="205" priority="186" operator="endsWith" text=" ">
      <formula>RIGHT(B100,LEN(" "))=" "</formula>
    </cfRule>
  </conditionalFormatting>
  <conditionalFormatting sqref="T100">
    <cfRule type="expression" dxfId="204" priority="192">
      <formula>#REF!="제외"</formula>
    </cfRule>
    <cfRule type="expression" dxfId="203" priority="193">
      <formula>TEXT(#REF!,"YYYY")="2022"</formula>
    </cfRule>
    <cfRule type="expression" dxfId="202" priority="194">
      <formula>$T100="조치완료"</formula>
    </cfRule>
    <cfRule type="expression" dxfId="201" priority="195">
      <formula>$T100="조치미흡"</formula>
    </cfRule>
  </conditionalFormatting>
  <conditionalFormatting sqref="U100">
    <cfRule type="expression" dxfId="200" priority="196">
      <formula>#REF!="제외"</formula>
    </cfRule>
    <cfRule type="expression" dxfId="199" priority="197">
      <formula>ISBLANK($U100)</formula>
    </cfRule>
  </conditionalFormatting>
  <conditionalFormatting sqref="R100">
    <cfRule type="expression" dxfId="198" priority="184">
      <formula>ISBLANK($R100)</formula>
    </cfRule>
    <cfRule type="expression" dxfId="197" priority="185">
      <formula>ISBLANK($R100)</formula>
    </cfRule>
  </conditionalFormatting>
  <conditionalFormatting sqref="S101:T101">
    <cfRule type="expression" dxfId="196" priority="177">
      <formula>ISBLANK($S101)</formula>
    </cfRule>
  </conditionalFormatting>
  <conditionalFormatting sqref="S101">
    <cfRule type="expression" dxfId="195" priority="176">
      <formula>IF(#REF!="제외",1,0)</formula>
    </cfRule>
  </conditionalFormatting>
  <conditionalFormatting sqref="W101">
    <cfRule type="expression" dxfId="194" priority="175">
      <formula>ISBLANK($W101)</formula>
    </cfRule>
  </conditionalFormatting>
  <conditionalFormatting sqref="T101">
    <cfRule type="expression" dxfId="193" priority="174">
      <formula>#REF!="제외"="해당없음"</formula>
    </cfRule>
  </conditionalFormatting>
  <conditionalFormatting sqref="W101">
    <cfRule type="expression" dxfId="192" priority="173">
      <formula>#REF!="제외"</formula>
    </cfRule>
  </conditionalFormatting>
  <conditionalFormatting sqref="B101 D101">
    <cfRule type="endsWith" dxfId="191" priority="172" operator="endsWith" text=" ">
      <formula>RIGHT(B101,LEN(" "))=" "</formula>
    </cfRule>
  </conditionalFormatting>
  <conditionalFormatting sqref="T101">
    <cfRule type="expression" dxfId="190" priority="178">
      <formula>#REF!="제외"</formula>
    </cfRule>
    <cfRule type="expression" dxfId="189" priority="179">
      <formula>TEXT(#REF!,"YYYY")="2022"</formula>
    </cfRule>
    <cfRule type="expression" dxfId="188" priority="180">
      <formula>$T101="조치완료"</formula>
    </cfRule>
    <cfRule type="expression" dxfId="187" priority="181">
      <formula>$T101="조치미흡"</formula>
    </cfRule>
  </conditionalFormatting>
  <conditionalFormatting sqref="U101">
    <cfRule type="expression" dxfId="186" priority="182">
      <formula>#REF!="제외"</formula>
    </cfRule>
    <cfRule type="expression" dxfId="185" priority="183">
      <formula>ISBLANK($U101)</formula>
    </cfRule>
  </conditionalFormatting>
  <conditionalFormatting sqref="R101">
    <cfRule type="expression" dxfId="184" priority="170">
      <formula>ISBLANK($R101)</formula>
    </cfRule>
    <cfRule type="expression" dxfId="183" priority="171">
      <formula>ISBLANK($R101)</formula>
    </cfRule>
  </conditionalFormatting>
  <conditionalFormatting sqref="S102:T102">
    <cfRule type="expression" dxfId="182" priority="163">
      <formula>ISBLANK($S102)</formula>
    </cfRule>
  </conditionalFormatting>
  <conditionalFormatting sqref="S102">
    <cfRule type="expression" dxfId="181" priority="162">
      <formula>IF(#REF!="제외",1,0)</formula>
    </cfRule>
  </conditionalFormatting>
  <conditionalFormatting sqref="W102">
    <cfRule type="expression" dxfId="180" priority="161">
      <formula>ISBLANK($W102)</formula>
    </cfRule>
  </conditionalFormatting>
  <conditionalFormatting sqref="T102">
    <cfRule type="expression" dxfId="179" priority="160">
      <formula>#REF!="제외"="해당없음"</formula>
    </cfRule>
  </conditionalFormatting>
  <conditionalFormatting sqref="W102">
    <cfRule type="expression" dxfId="178" priority="159">
      <formula>#REF!="제외"</formula>
    </cfRule>
  </conditionalFormatting>
  <conditionalFormatting sqref="B102 D102">
    <cfRule type="endsWith" dxfId="177" priority="158" operator="endsWith" text=" ">
      <formula>RIGHT(B102,LEN(" "))=" "</formula>
    </cfRule>
  </conditionalFormatting>
  <conditionalFormatting sqref="T102">
    <cfRule type="expression" dxfId="176" priority="164">
      <formula>#REF!="제외"</formula>
    </cfRule>
    <cfRule type="expression" dxfId="175" priority="165">
      <formula>TEXT(#REF!,"YYYY")="2022"</formula>
    </cfRule>
    <cfRule type="expression" dxfId="174" priority="166">
      <formula>$T102="조치완료"</formula>
    </cfRule>
    <cfRule type="expression" dxfId="173" priority="167">
      <formula>$T102="조치미흡"</formula>
    </cfRule>
  </conditionalFormatting>
  <conditionalFormatting sqref="U102">
    <cfRule type="expression" dxfId="172" priority="168">
      <formula>#REF!="제외"</formula>
    </cfRule>
    <cfRule type="expression" dxfId="171" priority="169">
      <formula>ISBLANK($U102)</formula>
    </cfRule>
  </conditionalFormatting>
  <conditionalFormatting sqref="R102">
    <cfRule type="expression" dxfId="170" priority="156">
      <formula>ISBLANK($R102)</formula>
    </cfRule>
    <cfRule type="expression" dxfId="169" priority="157">
      <formula>ISBLANK($R102)</formula>
    </cfRule>
  </conditionalFormatting>
  <conditionalFormatting sqref="S103:T103">
    <cfRule type="expression" dxfId="168" priority="149">
      <formula>ISBLANK($S103)</formula>
    </cfRule>
  </conditionalFormatting>
  <conditionalFormatting sqref="S103">
    <cfRule type="expression" dxfId="167" priority="148">
      <formula>IF(#REF!="제외",1,0)</formula>
    </cfRule>
  </conditionalFormatting>
  <conditionalFormatting sqref="W103">
    <cfRule type="expression" dxfId="166" priority="147">
      <formula>ISBLANK($W103)</formula>
    </cfRule>
  </conditionalFormatting>
  <conditionalFormatting sqref="T103">
    <cfRule type="expression" dxfId="165" priority="146">
      <formula>#REF!="제외"="해당없음"</formula>
    </cfRule>
  </conditionalFormatting>
  <conditionalFormatting sqref="W103">
    <cfRule type="expression" dxfId="164" priority="145">
      <formula>#REF!="제외"</formula>
    </cfRule>
  </conditionalFormatting>
  <conditionalFormatting sqref="B103 D103">
    <cfRule type="endsWith" dxfId="163" priority="144" operator="endsWith" text=" ">
      <formula>RIGHT(B103,LEN(" "))=" "</formula>
    </cfRule>
  </conditionalFormatting>
  <conditionalFormatting sqref="T103">
    <cfRule type="expression" dxfId="162" priority="150">
      <formula>#REF!="제외"</formula>
    </cfRule>
    <cfRule type="expression" dxfId="161" priority="151">
      <formula>TEXT(#REF!,"YYYY")="2022"</formula>
    </cfRule>
    <cfRule type="expression" dxfId="160" priority="152">
      <formula>$T103="조치완료"</formula>
    </cfRule>
    <cfRule type="expression" dxfId="159" priority="153">
      <formula>$T103="조치미흡"</formula>
    </cfRule>
  </conditionalFormatting>
  <conditionalFormatting sqref="U103">
    <cfRule type="expression" dxfId="158" priority="154">
      <formula>#REF!="제외"</formula>
    </cfRule>
    <cfRule type="expression" dxfId="157" priority="155">
      <formula>ISBLANK($U103)</formula>
    </cfRule>
  </conditionalFormatting>
  <conditionalFormatting sqref="R103">
    <cfRule type="expression" dxfId="156" priority="142">
      <formula>ISBLANK($R103)</formula>
    </cfRule>
    <cfRule type="expression" dxfId="155" priority="143">
      <formula>ISBLANK($R103)</formula>
    </cfRule>
  </conditionalFormatting>
  <conditionalFormatting sqref="S104:T104">
    <cfRule type="expression" dxfId="154" priority="135">
      <formula>ISBLANK($S104)</formula>
    </cfRule>
  </conditionalFormatting>
  <conditionalFormatting sqref="S104">
    <cfRule type="expression" dxfId="153" priority="134">
      <formula>IF(#REF!="제외",1,0)</formula>
    </cfRule>
  </conditionalFormatting>
  <conditionalFormatting sqref="W104">
    <cfRule type="expression" dxfId="152" priority="133">
      <formula>ISBLANK($W104)</formula>
    </cfRule>
  </conditionalFormatting>
  <conditionalFormatting sqref="T104">
    <cfRule type="expression" dxfId="151" priority="132">
      <formula>#REF!="제외"="해당없음"</formula>
    </cfRule>
  </conditionalFormatting>
  <conditionalFormatting sqref="W104">
    <cfRule type="expression" dxfId="150" priority="131">
      <formula>#REF!="제외"</formula>
    </cfRule>
  </conditionalFormatting>
  <conditionalFormatting sqref="B104 D104">
    <cfRule type="endsWith" dxfId="149" priority="130" operator="endsWith" text=" ">
      <formula>RIGHT(B104,LEN(" "))=" "</formula>
    </cfRule>
  </conditionalFormatting>
  <conditionalFormatting sqref="T104">
    <cfRule type="expression" dxfId="148" priority="136">
      <formula>#REF!="제외"</formula>
    </cfRule>
    <cfRule type="expression" dxfId="147" priority="137">
      <formula>TEXT(#REF!,"YYYY")="2022"</formula>
    </cfRule>
    <cfRule type="expression" dxfId="146" priority="138">
      <formula>$T104="조치완료"</formula>
    </cfRule>
    <cfRule type="expression" dxfId="145" priority="139">
      <formula>$T104="조치미흡"</formula>
    </cfRule>
  </conditionalFormatting>
  <conditionalFormatting sqref="U104">
    <cfRule type="expression" dxfId="144" priority="140">
      <formula>#REF!="제외"</formula>
    </cfRule>
    <cfRule type="expression" dxfId="143" priority="141">
      <formula>ISBLANK($U104)</formula>
    </cfRule>
  </conditionalFormatting>
  <conditionalFormatting sqref="R104">
    <cfRule type="expression" dxfId="142" priority="128">
      <formula>ISBLANK($R104)</formula>
    </cfRule>
    <cfRule type="expression" dxfId="141" priority="129">
      <formula>ISBLANK($R104)</formula>
    </cfRule>
  </conditionalFormatting>
  <conditionalFormatting sqref="S95:T95">
    <cfRule type="expression" dxfId="140" priority="121">
      <formula>ISBLANK($S95)</formula>
    </cfRule>
  </conditionalFormatting>
  <conditionalFormatting sqref="S95">
    <cfRule type="expression" dxfId="139" priority="120">
      <formula>IF(#REF!="제외",1,0)</formula>
    </cfRule>
  </conditionalFormatting>
  <conditionalFormatting sqref="W95">
    <cfRule type="expression" dxfId="138" priority="119">
      <formula>ISBLANK($W95)</formula>
    </cfRule>
  </conditionalFormatting>
  <conditionalFormatting sqref="T95">
    <cfRule type="expression" dxfId="137" priority="118">
      <formula>#REF!="제외"="해당없음"</formula>
    </cfRule>
  </conditionalFormatting>
  <conditionalFormatting sqref="W95">
    <cfRule type="expression" dxfId="136" priority="117">
      <formula>#REF!="제외"</formula>
    </cfRule>
  </conditionalFormatting>
  <conditionalFormatting sqref="B95 D95">
    <cfRule type="endsWith" dxfId="135" priority="116" operator="endsWith" text=" ">
      <formula>RIGHT(B95,LEN(" "))=" "</formula>
    </cfRule>
  </conditionalFormatting>
  <conditionalFormatting sqref="T95">
    <cfRule type="expression" dxfId="134" priority="122">
      <formula>#REF!="제외"</formula>
    </cfRule>
    <cfRule type="expression" dxfId="133" priority="123">
      <formula>TEXT(#REF!,"YYYY")="2022"</formula>
    </cfRule>
    <cfRule type="expression" dxfId="132" priority="124">
      <formula>$T95="조치완료"</formula>
    </cfRule>
    <cfRule type="expression" dxfId="131" priority="125">
      <formula>$T95="조치미흡"</formula>
    </cfRule>
  </conditionalFormatting>
  <conditionalFormatting sqref="U95">
    <cfRule type="expression" dxfId="130" priority="126">
      <formula>#REF!="제외"</formula>
    </cfRule>
    <cfRule type="expression" dxfId="129" priority="127">
      <formula>ISBLANK($U95)</formula>
    </cfRule>
  </conditionalFormatting>
  <conditionalFormatting sqref="R95">
    <cfRule type="expression" dxfId="128" priority="114">
      <formula>ISBLANK($R95)</formula>
    </cfRule>
    <cfRule type="expression" dxfId="127" priority="115">
      <formula>ISBLANK($R95)</formula>
    </cfRule>
  </conditionalFormatting>
  <conditionalFormatting sqref="S96:T96">
    <cfRule type="expression" dxfId="126" priority="107">
      <formula>ISBLANK($S96)</formula>
    </cfRule>
  </conditionalFormatting>
  <conditionalFormatting sqref="S96">
    <cfRule type="expression" dxfId="125" priority="106">
      <formula>IF(#REF!="제외",1,0)</formula>
    </cfRule>
  </conditionalFormatting>
  <conditionalFormatting sqref="W96">
    <cfRule type="expression" dxfId="124" priority="105">
      <formula>ISBLANK($W96)</formula>
    </cfRule>
  </conditionalFormatting>
  <conditionalFormatting sqref="T96">
    <cfRule type="expression" dxfId="123" priority="104">
      <formula>#REF!="제외"="해당없음"</formula>
    </cfRule>
  </conditionalFormatting>
  <conditionalFormatting sqref="W96">
    <cfRule type="expression" dxfId="122" priority="103">
      <formula>#REF!="제외"</formula>
    </cfRule>
  </conditionalFormatting>
  <conditionalFormatting sqref="B96 D96">
    <cfRule type="endsWith" dxfId="121" priority="102" operator="endsWith" text=" ">
      <formula>RIGHT(B96,LEN(" "))=" "</formula>
    </cfRule>
  </conditionalFormatting>
  <conditionalFormatting sqref="T96">
    <cfRule type="expression" dxfId="120" priority="108">
      <formula>#REF!="제외"</formula>
    </cfRule>
    <cfRule type="expression" dxfId="119" priority="109">
      <formula>TEXT(#REF!,"YYYY")="2022"</formula>
    </cfRule>
    <cfRule type="expression" dxfId="118" priority="110">
      <formula>$T96="조치완료"</formula>
    </cfRule>
    <cfRule type="expression" dxfId="117" priority="111">
      <formula>$T96="조치미흡"</formula>
    </cfRule>
  </conditionalFormatting>
  <conditionalFormatting sqref="U96">
    <cfRule type="expression" dxfId="116" priority="112">
      <formula>#REF!="제외"</formula>
    </cfRule>
    <cfRule type="expression" dxfId="115" priority="113">
      <formula>ISBLANK($U96)</formula>
    </cfRule>
  </conditionalFormatting>
  <conditionalFormatting sqref="R96">
    <cfRule type="expression" dxfId="114" priority="100">
      <formula>ISBLANK($R96)</formula>
    </cfRule>
    <cfRule type="expression" dxfId="113" priority="101">
      <formula>ISBLANK($R96)</formula>
    </cfRule>
  </conditionalFormatting>
  <conditionalFormatting sqref="S97:T97">
    <cfRule type="expression" dxfId="112" priority="93">
      <formula>ISBLANK($S97)</formula>
    </cfRule>
  </conditionalFormatting>
  <conditionalFormatting sqref="S97">
    <cfRule type="expression" dxfId="111" priority="92">
      <formula>IF(#REF!="제외",1,0)</formula>
    </cfRule>
  </conditionalFormatting>
  <conditionalFormatting sqref="W97">
    <cfRule type="expression" dxfId="110" priority="91">
      <formula>ISBLANK($W97)</formula>
    </cfRule>
  </conditionalFormatting>
  <conditionalFormatting sqref="T97">
    <cfRule type="expression" dxfId="109" priority="90">
      <formula>#REF!="제외"="해당없음"</formula>
    </cfRule>
  </conditionalFormatting>
  <conditionalFormatting sqref="W97">
    <cfRule type="expression" dxfId="108" priority="89">
      <formula>#REF!="제외"</formula>
    </cfRule>
  </conditionalFormatting>
  <conditionalFormatting sqref="B97 D97">
    <cfRule type="endsWith" dxfId="107" priority="88" operator="endsWith" text=" ">
      <formula>RIGHT(B97,LEN(" "))=" "</formula>
    </cfRule>
  </conditionalFormatting>
  <conditionalFormatting sqref="T97">
    <cfRule type="expression" dxfId="106" priority="94">
      <formula>#REF!="제외"</formula>
    </cfRule>
    <cfRule type="expression" dxfId="105" priority="95">
      <formula>TEXT(#REF!,"YYYY")="2022"</formula>
    </cfRule>
    <cfRule type="expression" dxfId="104" priority="96">
      <formula>$T97="조치완료"</formula>
    </cfRule>
    <cfRule type="expression" dxfId="103" priority="97">
      <formula>$T97="조치미흡"</formula>
    </cfRule>
  </conditionalFormatting>
  <conditionalFormatting sqref="U97">
    <cfRule type="expression" dxfId="102" priority="98">
      <formula>#REF!="제외"</formula>
    </cfRule>
    <cfRule type="expression" dxfId="101" priority="99">
      <formula>ISBLANK($U97)</formula>
    </cfRule>
  </conditionalFormatting>
  <conditionalFormatting sqref="R97">
    <cfRule type="expression" dxfId="100" priority="86">
      <formula>ISBLANK($R97)</formula>
    </cfRule>
    <cfRule type="expression" dxfId="99" priority="87">
      <formula>ISBLANK($R97)</formula>
    </cfRule>
  </conditionalFormatting>
  <conditionalFormatting sqref="S89:T89">
    <cfRule type="expression" dxfId="98" priority="79">
      <formula>ISBLANK($S89)</formula>
    </cfRule>
  </conditionalFormatting>
  <conditionalFormatting sqref="S89">
    <cfRule type="expression" dxfId="97" priority="78">
      <formula>IF(#REF!="제외",1,0)</formula>
    </cfRule>
  </conditionalFormatting>
  <conditionalFormatting sqref="W89">
    <cfRule type="expression" dxfId="96" priority="77">
      <formula>ISBLANK($W89)</formula>
    </cfRule>
  </conditionalFormatting>
  <conditionalFormatting sqref="T89">
    <cfRule type="expression" dxfId="95" priority="76">
      <formula>#REF!="제외"="해당없음"</formula>
    </cfRule>
  </conditionalFormatting>
  <conditionalFormatting sqref="W89">
    <cfRule type="expression" dxfId="94" priority="75">
      <formula>#REF!="제외"</formula>
    </cfRule>
  </conditionalFormatting>
  <conditionalFormatting sqref="B89 D89">
    <cfRule type="endsWith" dxfId="93" priority="74" operator="endsWith" text=" ">
      <formula>RIGHT(B89,LEN(" "))=" "</formula>
    </cfRule>
  </conditionalFormatting>
  <conditionalFormatting sqref="T89">
    <cfRule type="expression" dxfId="92" priority="80">
      <formula>#REF!="제외"</formula>
    </cfRule>
    <cfRule type="expression" dxfId="91" priority="81">
      <formula>TEXT(#REF!,"YYYY")="2022"</formula>
    </cfRule>
    <cfRule type="expression" dxfId="90" priority="82">
      <formula>$T89="조치완료"</formula>
    </cfRule>
    <cfRule type="expression" dxfId="89" priority="83">
      <formula>$T89="조치미흡"</formula>
    </cfRule>
  </conditionalFormatting>
  <conditionalFormatting sqref="U89">
    <cfRule type="expression" dxfId="88" priority="84">
      <formula>#REF!="제외"</formula>
    </cfRule>
    <cfRule type="expression" dxfId="87" priority="85">
      <formula>ISBLANK($U89)</formula>
    </cfRule>
  </conditionalFormatting>
  <conditionalFormatting sqref="R89">
    <cfRule type="expression" dxfId="86" priority="72">
      <formula>ISBLANK($R89)</formula>
    </cfRule>
    <cfRule type="expression" dxfId="85" priority="73">
      <formula>ISBLANK($R89)</formula>
    </cfRule>
  </conditionalFormatting>
  <conditionalFormatting sqref="S98:T98">
    <cfRule type="expression" dxfId="84" priority="65">
      <formula>ISBLANK($S98)</formula>
    </cfRule>
  </conditionalFormatting>
  <conditionalFormatting sqref="S98">
    <cfRule type="expression" dxfId="83" priority="64">
      <formula>IF(#REF!="제외",1,0)</formula>
    </cfRule>
  </conditionalFormatting>
  <conditionalFormatting sqref="W98">
    <cfRule type="expression" dxfId="82" priority="63">
      <formula>ISBLANK($W98)</formula>
    </cfRule>
  </conditionalFormatting>
  <conditionalFormatting sqref="T98">
    <cfRule type="expression" dxfId="81" priority="62">
      <formula>#REF!="제외"="해당없음"</formula>
    </cfRule>
  </conditionalFormatting>
  <conditionalFormatting sqref="W98">
    <cfRule type="expression" dxfId="80" priority="61">
      <formula>#REF!="제외"</formula>
    </cfRule>
  </conditionalFormatting>
  <conditionalFormatting sqref="B98 D98">
    <cfRule type="endsWith" dxfId="79" priority="60" operator="endsWith" text=" ">
      <formula>RIGHT(B98,LEN(" "))=" "</formula>
    </cfRule>
  </conditionalFormatting>
  <conditionalFormatting sqref="T98">
    <cfRule type="expression" dxfId="78" priority="66">
      <formula>#REF!="제외"</formula>
    </cfRule>
    <cfRule type="expression" dxfId="77" priority="67">
      <formula>TEXT(#REF!,"YYYY")="2022"</formula>
    </cfRule>
    <cfRule type="expression" dxfId="76" priority="68">
      <formula>$T98="조치완료"</formula>
    </cfRule>
    <cfRule type="expression" dxfId="75" priority="69">
      <formula>$T98="조치미흡"</formula>
    </cfRule>
  </conditionalFormatting>
  <conditionalFormatting sqref="U98">
    <cfRule type="expression" dxfId="74" priority="70">
      <formula>#REF!="제외"</formula>
    </cfRule>
    <cfRule type="expression" dxfId="73" priority="71">
      <formula>ISBLANK($U98)</formula>
    </cfRule>
  </conditionalFormatting>
  <conditionalFormatting sqref="R98">
    <cfRule type="expression" dxfId="72" priority="58">
      <formula>ISBLANK($R98)</formula>
    </cfRule>
    <cfRule type="expression" dxfId="71" priority="59">
      <formula>ISBLANK($R98)</formula>
    </cfRule>
  </conditionalFormatting>
  <conditionalFormatting sqref="S91:T91">
    <cfRule type="expression" dxfId="70" priority="51">
      <formula>ISBLANK($S91)</formula>
    </cfRule>
  </conditionalFormatting>
  <conditionalFormatting sqref="S91">
    <cfRule type="expression" dxfId="69" priority="50">
      <formula>IF(#REF!="제외",1,0)</formula>
    </cfRule>
  </conditionalFormatting>
  <conditionalFormatting sqref="W91">
    <cfRule type="expression" dxfId="68" priority="49">
      <formula>ISBLANK($W91)</formula>
    </cfRule>
  </conditionalFormatting>
  <conditionalFormatting sqref="T91">
    <cfRule type="expression" dxfId="67" priority="48">
      <formula>#REF!="제외"="해당없음"</formula>
    </cfRule>
  </conditionalFormatting>
  <conditionalFormatting sqref="W91">
    <cfRule type="expression" dxfId="66" priority="47">
      <formula>#REF!="제외"</formula>
    </cfRule>
  </conditionalFormatting>
  <conditionalFormatting sqref="B91 D91">
    <cfRule type="endsWith" dxfId="65" priority="46" operator="endsWith" text=" ">
      <formula>RIGHT(B91,LEN(" "))=" "</formula>
    </cfRule>
  </conditionalFormatting>
  <conditionalFormatting sqref="T91">
    <cfRule type="expression" dxfId="64" priority="52">
      <formula>#REF!="제외"</formula>
    </cfRule>
    <cfRule type="expression" dxfId="63" priority="53">
      <formula>TEXT(#REF!,"YYYY")="2022"</formula>
    </cfRule>
    <cfRule type="expression" dxfId="62" priority="54">
      <formula>$T91="조치완료"</formula>
    </cfRule>
    <cfRule type="expression" dxfId="61" priority="55">
      <formula>$T91="조치미흡"</formula>
    </cfRule>
  </conditionalFormatting>
  <conditionalFormatting sqref="U91">
    <cfRule type="expression" dxfId="60" priority="56">
      <formula>#REF!="제외"</formula>
    </cfRule>
    <cfRule type="expression" dxfId="59" priority="57">
      <formula>ISBLANK($U91)</formula>
    </cfRule>
  </conditionalFormatting>
  <conditionalFormatting sqref="R91">
    <cfRule type="expression" dxfId="58" priority="44">
      <formula>ISBLANK($R91)</formula>
    </cfRule>
    <cfRule type="expression" dxfId="57" priority="45">
      <formula>ISBLANK($R91)</formula>
    </cfRule>
  </conditionalFormatting>
  <conditionalFormatting sqref="S92:T92">
    <cfRule type="expression" dxfId="56" priority="37">
      <formula>ISBLANK($S92)</formula>
    </cfRule>
  </conditionalFormatting>
  <conditionalFormatting sqref="S92">
    <cfRule type="expression" dxfId="55" priority="36">
      <formula>IF(#REF!="제외",1,0)</formula>
    </cfRule>
  </conditionalFormatting>
  <conditionalFormatting sqref="W92">
    <cfRule type="expression" dxfId="54" priority="35">
      <formula>ISBLANK($W92)</formula>
    </cfRule>
  </conditionalFormatting>
  <conditionalFormatting sqref="T92">
    <cfRule type="expression" dxfId="53" priority="34">
      <formula>#REF!="제외"="해당없음"</formula>
    </cfRule>
  </conditionalFormatting>
  <conditionalFormatting sqref="W92">
    <cfRule type="expression" dxfId="52" priority="33">
      <formula>#REF!="제외"</formula>
    </cfRule>
  </conditionalFormatting>
  <conditionalFormatting sqref="B92 D92">
    <cfRule type="endsWith" dxfId="51" priority="32" operator="endsWith" text=" ">
      <formula>RIGHT(B92,LEN(" "))=" "</formula>
    </cfRule>
  </conditionalFormatting>
  <conditionalFormatting sqref="T92">
    <cfRule type="expression" dxfId="50" priority="38">
      <formula>#REF!="제외"</formula>
    </cfRule>
    <cfRule type="expression" dxfId="49" priority="39">
      <formula>TEXT(#REF!,"YYYY")="2022"</formula>
    </cfRule>
    <cfRule type="expression" dxfId="48" priority="40">
      <formula>$T92="조치완료"</formula>
    </cfRule>
    <cfRule type="expression" dxfId="47" priority="41">
      <formula>$T92="조치미흡"</formula>
    </cfRule>
  </conditionalFormatting>
  <conditionalFormatting sqref="U92">
    <cfRule type="expression" dxfId="46" priority="42">
      <formula>#REF!="제외"</formula>
    </cfRule>
    <cfRule type="expression" dxfId="45" priority="43">
      <formula>ISBLANK($U92)</formula>
    </cfRule>
  </conditionalFormatting>
  <conditionalFormatting sqref="R92">
    <cfRule type="expression" dxfId="44" priority="30">
      <formula>ISBLANK($R92)</formula>
    </cfRule>
    <cfRule type="expression" dxfId="43" priority="31">
      <formula>ISBLANK($R92)</formula>
    </cfRule>
  </conditionalFormatting>
  <conditionalFormatting sqref="S105:T105">
    <cfRule type="expression" dxfId="42" priority="23">
      <formula>ISBLANK($S105)</formula>
    </cfRule>
  </conditionalFormatting>
  <conditionalFormatting sqref="S105">
    <cfRule type="expression" dxfId="41" priority="22">
      <formula>IF(#REF!="제외",1,0)</formula>
    </cfRule>
  </conditionalFormatting>
  <conditionalFormatting sqref="W105">
    <cfRule type="expression" dxfId="40" priority="21">
      <formula>ISBLANK($W105)</formula>
    </cfRule>
  </conditionalFormatting>
  <conditionalFormatting sqref="T105">
    <cfRule type="expression" dxfId="39" priority="20">
      <formula>#REF!="제외"="해당없음"</formula>
    </cfRule>
  </conditionalFormatting>
  <conditionalFormatting sqref="W105">
    <cfRule type="expression" dxfId="38" priority="19">
      <formula>#REF!="제외"</formula>
    </cfRule>
  </conditionalFormatting>
  <conditionalFormatting sqref="B105 D105">
    <cfRule type="endsWith" dxfId="37" priority="18" operator="endsWith" text=" ">
      <formula>RIGHT(B105,LEN(" "))=" "</formula>
    </cfRule>
  </conditionalFormatting>
  <conditionalFormatting sqref="T105">
    <cfRule type="expression" dxfId="36" priority="24">
      <formula>#REF!="제외"</formula>
    </cfRule>
    <cfRule type="expression" dxfId="35" priority="25">
      <formula>TEXT(#REF!,"YYYY")="2022"</formula>
    </cfRule>
    <cfRule type="expression" dxfId="34" priority="26">
      <formula>$T105="조치완료"</formula>
    </cfRule>
    <cfRule type="expression" dxfId="33" priority="27">
      <formula>$T105="조치미흡"</formula>
    </cfRule>
  </conditionalFormatting>
  <conditionalFormatting sqref="U105">
    <cfRule type="expression" dxfId="32" priority="28">
      <formula>#REF!="제외"</formula>
    </cfRule>
    <cfRule type="expression" dxfId="31" priority="29">
      <formula>ISBLANK($U105)</formula>
    </cfRule>
  </conditionalFormatting>
  <conditionalFormatting sqref="R105">
    <cfRule type="expression" dxfId="30" priority="16">
      <formula>ISBLANK($R105)</formula>
    </cfRule>
    <cfRule type="expression" dxfId="29" priority="17">
      <formula>ISBLANK($R105)</formula>
    </cfRule>
  </conditionalFormatting>
  <conditionalFormatting sqref="S99:T99">
    <cfRule type="expression" dxfId="28" priority="9">
      <formula>ISBLANK($S99)</formula>
    </cfRule>
  </conditionalFormatting>
  <conditionalFormatting sqref="S99">
    <cfRule type="expression" dxfId="27" priority="8">
      <formula>IF(#REF!="제외",1,0)</formula>
    </cfRule>
  </conditionalFormatting>
  <conditionalFormatting sqref="W99">
    <cfRule type="expression" dxfId="26" priority="7">
      <formula>ISBLANK($W99)</formula>
    </cfRule>
  </conditionalFormatting>
  <conditionalFormatting sqref="T99">
    <cfRule type="expression" dxfId="25" priority="6">
      <formula>#REF!="제외"="해당없음"</formula>
    </cfRule>
  </conditionalFormatting>
  <conditionalFormatting sqref="W99">
    <cfRule type="expression" dxfId="24" priority="5">
      <formula>#REF!="제외"</formula>
    </cfRule>
  </conditionalFormatting>
  <conditionalFormatting sqref="B99 D99">
    <cfRule type="endsWith" dxfId="23" priority="4" operator="endsWith" text=" ">
      <formula>RIGHT(B99,LEN(" "))=" "</formula>
    </cfRule>
  </conditionalFormatting>
  <conditionalFormatting sqref="T99">
    <cfRule type="expression" dxfId="22" priority="10">
      <formula>#REF!="제외"</formula>
    </cfRule>
    <cfRule type="expression" dxfId="21" priority="11">
      <formula>TEXT(#REF!,"YYYY")="2022"</formula>
    </cfRule>
    <cfRule type="expression" dxfId="20" priority="12">
      <formula>$T99="조치완료"</formula>
    </cfRule>
    <cfRule type="expression" dxfId="19" priority="13">
      <formula>$T99="조치미흡"</formula>
    </cfRule>
  </conditionalFormatting>
  <conditionalFormatting sqref="U99">
    <cfRule type="expression" dxfId="18" priority="14">
      <formula>#REF!="제외"</formula>
    </cfRule>
    <cfRule type="expression" dxfId="17" priority="15">
      <formula>ISBLANK($U99)</formula>
    </cfRule>
  </conditionalFormatting>
  <conditionalFormatting sqref="R99">
    <cfRule type="expression" dxfId="16" priority="2">
      <formula>ISBLANK($R99)</formula>
    </cfRule>
    <cfRule type="expression" dxfId="15" priority="3">
      <formula>ISBLANK($R99)</formula>
    </cfRule>
  </conditionalFormatting>
  <conditionalFormatting sqref="C87:C105">
    <cfRule type="endsWith" dxfId="14" priority="1" operator="endsWith" text=" ">
      <formula>RIGHT(C87,LEN(" "))=" "</formula>
    </cfRule>
  </conditionalFormatting>
  <dataValidations count="1">
    <dataValidation type="list" allowBlank="1" showInputMessage="1" showErrorMessage="1" sqref="T3:T38 T56:T105" xr:uid="{A6217336-3B2C-446A-962A-6052C725EE75}">
      <formula1>"조치완료,조치미흡,해당없음"</formula1>
    </dataValidation>
  </dataValidations>
  <hyperlinks>
    <hyperlink ref="L28" r:id="rId1" display="https://dev.okplaza.kr/product/list?inputWord=test" xr:uid="{884CDCC4-97ED-4FEE-8F3C-1B2DD7E0E5A8}"/>
    <hyperlink ref="L51" r:id="rId2" xr:uid="{E152DF3E-0D00-439E-B8E5-28D34F601A5B}"/>
    <hyperlink ref="L52" r:id="rId3" xr:uid="{69DEF76A-521D-49C9-B982-9751C7CB13D6}"/>
  </hyperlinks>
  <pageMargins left="0.7" right="0.7" top="0.75" bottom="0.75" header="0.3" footer="0.3"/>
  <pageSetup paperSize="9" orientation="portrait" r:id="rId4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42B1-CFD5-4C82-B991-E270B72547DD}">
  <dimension ref="A3:B43"/>
  <sheetViews>
    <sheetView workbookViewId="0">
      <selection activeCell="B15" sqref="B15"/>
    </sheetView>
  </sheetViews>
  <sheetFormatPr defaultRowHeight="13.5"/>
  <cols>
    <col min="1" max="1" width="39" bestFit="1" customWidth="1"/>
    <col min="2" max="2" width="18.77734375" bestFit="1" customWidth="1"/>
  </cols>
  <sheetData>
    <row r="3" spans="1:2">
      <c r="A3" s="97" t="s">
        <v>765</v>
      </c>
      <c r="B3" t="s">
        <v>766</v>
      </c>
    </row>
    <row r="4" spans="1:2">
      <c r="A4" s="18" t="s">
        <v>40</v>
      </c>
      <c r="B4">
        <v>1</v>
      </c>
    </row>
    <row r="5" spans="1:2">
      <c r="A5" s="98" t="s">
        <v>41</v>
      </c>
      <c r="B5">
        <v>1</v>
      </c>
    </row>
    <row r="6" spans="1:2">
      <c r="A6" s="99" t="s">
        <v>12</v>
      </c>
      <c r="B6">
        <v>1</v>
      </c>
    </row>
    <row r="7" spans="1:2">
      <c r="A7" s="18" t="s">
        <v>52</v>
      </c>
      <c r="B7">
        <v>19</v>
      </c>
    </row>
    <row r="8" spans="1:2">
      <c r="A8" s="98" t="s">
        <v>53</v>
      </c>
      <c r="B8">
        <v>19</v>
      </c>
    </row>
    <row r="9" spans="1:2">
      <c r="A9" s="99" t="s">
        <v>8</v>
      </c>
      <c r="B9">
        <v>19</v>
      </c>
    </row>
    <row r="10" spans="1:2">
      <c r="A10" s="18" t="s">
        <v>20</v>
      </c>
      <c r="B10">
        <v>20</v>
      </c>
    </row>
    <row r="11" spans="1:2">
      <c r="A11" s="98" t="s">
        <v>21</v>
      </c>
      <c r="B11">
        <v>20</v>
      </c>
    </row>
    <row r="12" spans="1:2">
      <c r="A12" s="99" t="s">
        <v>10</v>
      </c>
      <c r="B12">
        <v>20</v>
      </c>
    </row>
    <row r="13" spans="1:2">
      <c r="A13" s="18" t="s">
        <v>62</v>
      </c>
      <c r="B13">
        <v>8</v>
      </c>
    </row>
    <row r="14" spans="1:2">
      <c r="A14" s="98" t="s">
        <v>9</v>
      </c>
      <c r="B14">
        <v>8</v>
      </c>
    </row>
    <row r="15" spans="1:2">
      <c r="A15" s="99" t="s">
        <v>10</v>
      </c>
      <c r="B15">
        <v>8</v>
      </c>
    </row>
    <row r="16" spans="1:2">
      <c r="A16" s="18" t="s">
        <v>73</v>
      </c>
      <c r="B16">
        <v>25</v>
      </c>
    </row>
    <row r="17" spans="1:2">
      <c r="A17" s="98" t="s">
        <v>14</v>
      </c>
      <c r="B17">
        <v>25</v>
      </c>
    </row>
    <row r="18" spans="1:2">
      <c r="A18" s="99" t="s">
        <v>10</v>
      </c>
      <c r="B18">
        <v>25</v>
      </c>
    </row>
    <row r="19" spans="1:2">
      <c r="A19" s="18" t="s">
        <v>75</v>
      </c>
      <c r="B19">
        <v>5</v>
      </c>
    </row>
    <row r="20" spans="1:2">
      <c r="A20" s="98" t="s">
        <v>76</v>
      </c>
      <c r="B20">
        <v>5</v>
      </c>
    </row>
    <row r="21" spans="1:2">
      <c r="A21" s="99" t="s">
        <v>8</v>
      </c>
      <c r="B21">
        <v>5</v>
      </c>
    </row>
    <row r="22" spans="1:2">
      <c r="A22" s="18" t="s">
        <v>78</v>
      </c>
      <c r="B22">
        <v>6</v>
      </c>
    </row>
    <row r="23" spans="1:2">
      <c r="A23" s="98" t="s">
        <v>79</v>
      </c>
      <c r="B23">
        <v>6</v>
      </c>
    </row>
    <row r="24" spans="1:2">
      <c r="A24" s="99" t="s">
        <v>8</v>
      </c>
      <c r="B24">
        <v>6</v>
      </c>
    </row>
    <row r="25" spans="1:2">
      <c r="A25" s="18" t="s">
        <v>81</v>
      </c>
      <c r="B25">
        <v>1</v>
      </c>
    </row>
    <row r="26" spans="1:2">
      <c r="A26" s="98" t="s">
        <v>82</v>
      </c>
      <c r="B26">
        <v>1</v>
      </c>
    </row>
    <row r="27" spans="1:2">
      <c r="A27" s="99" t="s">
        <v>10</v>
      </c>
      <c r="B27">
        <v>1</v>
      </c>
    </row>
    <row r="28" spans="1:2">
      <c r="A28" s="18" t="s">
        <v>89</v>
      </c>
      <c r="B28">
        <v>1</v>
      </c>
    </row>
    <row r="29" spans="1:2">
      <c r="A29" s="98" t="s">
        <v>90</v>
      </c>
      <c r="B29">
        <v>1</v>
      </c>
    </row>
    <row r="30" spans="1:2">
      <c r="A30" s="99" t="s">
        <v>8</v>
      </c>
      <c r="B30">
        <v>1</v>
      </c>
    </row>
    <row r="31" spans="1:2">
      <c r="A31" s="18" t="s">
        <v>612</v>
      </c>
      <c r="B31">
        <v>2</v>
      </c>
    </row>
    <row r="32" spans="1:2">
      <c r="A32" s="98" t="s">
        <v>613</v>
      </c>
      <c r="B32">
        <v>2</v>
      </c>
    </row>
    <row r="33" spans="1:2">
      <c r="A33" s="99" t="s">
        <v>8</v>
      </c>
      <c r="B33">
        <v>2</v>
      </c>
    </row>
    <row r="34" spans="1:2">
      <c r="A34" s="18" t="s">
        <v>106</v>
      </c>
      <c r="B34">
        <v>7</v>
      </c>
    </row>
    <row r="35" spans="1:2">
      <c r="A35" s="98" t="s">
        <v>11</v>
      </c>
      <c r="B35">
        <v>7</v>
      </c>
    </row>
    <row r="36" spans="1:2">
      <c r="A36" s="99" t="s">
        <v>8</v>
      </c>
      <c r="B36">
        <v>7</v>
      </c>
    </row>
    <row r="37" spans="1:2">
      <c r="A37" s="18" t="s">
        <v>156</v>
      </c>
      <c r="B37">
        <v>1</v>
      </c>
    </row>
    <row r="38" spans="1:2">
      <c r="A38" s="98" t="s">
        <v>157</v>
      </c>
      <c r="B38">
        <v>1</v>
      </c>
    </row>
    <row r="39" spans="1:2">
      <c r="A39" s="99" t="s">
        <v>10</v>
      </c>
      <c r="B39">
        <v>1</v>
      </c>
    </row>
    <row r="40" spans="1:2">
      <c r="A40" s="18" t="s">
        <v>115</v>
      </c>
      <c r="B40">
        <v>7</v>
      </c>
    </row>
    <row r="41" spans="1:2">
      <c r="A41" s="98" t="s">
        <v>116</v>
      </c>
      <c r="B41">
        <v>7</v>
      </c>
    </row>
    <row r="42" spans="1:2">
      <c r="A42" s="99" t="s">
        <v>8</v>
      </c>
      <c r="B42">
        <v>7</v>
      </c>
    </row>
    <row r="43" spans="1:2">
      <c r="A43" s="18" t="s">
        <v>764</v>
      </c>
      <c r="B43">
        <v>103</v>
      </c>
    </row>
  </sheetData>
  <phoneticPr fontId="5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358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373</v>
      </c>
      <c r="G3" s="3" t="str">
        <f>IFERROR(VLOOKUP(F3,'03. 범용 체크리스트(수정X)'!$B$2:$E$50,2,FALSE),"")</f>
        <v/>
      </c>
      <c r="H3" s="15" t="s">
        <v>4</v>
      </c>
      <c r="I3" s="8" t="s">
        <v>4</v>
      </c>
      <c r="J3" s="8"/>
      <c r="K3" s="8"/>
      <c r="L3" s="14" t="s">
        <v>4</v>
      </c>
      <c r="M3" s="14" t="s">
        <v>4</v>
      </c>
      <c r="N3" s="11" t="s">
        <v>367</v>
      </c>
      <c r="O3" s="36"/>
      <c r="P3" s="11" t="str">
        <f>IFERROR(VLOOKUP(F3,'03. 범용 체크리스트(수정X)'!$B$2:$E$50,4,FALSE),"")</f>
        <v/>
      </c>
      <c r="Q3" s="11"/>
      <c r="R3" s="32"/>
      <c r="S3" s="32"/>
      <c r="T3" s="41"/>
      <c r="U3" s="15" t="s">
        <v>351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167</v>
      </c>
      <c r="C4" s="26" t="s">
        <v>168</v>
      </c>
      <c r="D4" s="26" t="s">
        <v>169</v>
      </c>
      <c r="E4" s="27" t="s">
        <v>170</v>
      </c>
    </row>
    <row r="5" spans="2:5" ht="96.75" customHeight="1" thickBot="1">
      <c r="B5" s="28" t="s">
        <v>171</v>
      </c>
      <c r="C5" s="29" t="s">
        <v>172</v>
      </c>
      <c r="D5" s="30" t="s">
        <v>173</v>
      </c>
      <c r="E5" s="31">
        <v>5</v>
      </c>
    </row>
    <row r="6" spans="2:5" ht="96.75" customHeight="1" thickBot="1">
      <c r="B6" s="28" t="s">
        <v>174</v>
      </c>
      <c r="C6" s="29" t="s">
        <v>175</v>
      </c>
      <c r="D6" s="30" t="s">
        <v>176</v>
      </c>
      <c r="E6" s="31">
        <v>5</v>
      </c>
    </row>
    <row r="7" spans="2:5" ht="84.75" customHeight="1" thickBot="1">
      <c r="B7" s="28" t="s">
        <v>177</v>
      </c>
      <c r="C7" s="29" t="s">
        <v>178</v>
      </c>
      <c r="D7" s="30" t="s">
        <v>179</v>
      </c>
      <c r="E7" s="31">
        <v>5</v>
      </c>
    </row>
    <row r="8" spans="2:5" ht="84.75" customHeight="1" thickBot="1">
      <c r="B8" s="28" t="s">
        <v>180</v>
      </c>
      <c r="C8" s="29" t="s">
        <v>181</v>
      </c>
      <c r="D8" s="30" t="s">
        <v>182</v>
      </c>
      <c r="E8" s="31">
        <v>5</v>
      </c>
    </row>
    <row r="9" spans="2:5" ht="84.75" customHeight="1" thickBot="1">
      <c r="B9" s="28" t="s">
        <v>183</v>
      </c>
      <c r="C9" s="29" t="s">
        <v>184</v>
      </c>
      <c r="D9" s="30" t="s">
        <v>185</v>
      </c>
      <c r="E9" s="31">
        <v>5</v>
      </c>
    </row>
    <row r="10" spans="2:5" ht="96.75" customHeight="1" thickBot="1">
      <c r="B10" s="28" t="s">
        <v>186</v>
      </c>
      <c r="C10" s="29" t="s">
        <v>187</v>
      </c>
      <c r="D10" s="30" t="s">
        <v>188</v>
      </c>
      <c r="E10" s="31">
        <v>5</v>
      </c>
    </row>
    <row r="11" spans="2:5" ht="72.75" customHeight="1" thickBot="1">
      <c r="B11" s="28" t="s">
        <v>189</v>
      </c>
      <c r="C11" s="29" t="s">
        <v>190</v>
      </c>
      <c r="D11" s="30" t="s">
        <v>191</v>
      </c>
      <c r="E11" s="31">
        <v>5</v>
      </c>
    </row>
    <row r="12" spans="2:5" ht="72.75" customHeight="1" thickBot="1">
      <c r="B12" s="28" t="s">
        <v>192</v>
      </c>
      <c r="C12" s="29" t="s">
        <v>193</v>
      </c>
      <c r="D12" s="30" t="s">
        <v>194</v>
      </c>
      <c r="E12" s="31">
        <v>5</v>
      </c>
    </row>
    <row r="13" spans="2:5" ht="60.75" customHeight="1" thickBot="1">
      <c r="B13" s="28" t="s">
        <v>195</v>
      </c>
      <c r="C13" s="29" t="s">
        <v>196</v>
      </c>
      <c r="D13" s="30" t="s">
        <v>197</v>
      </c>
      <c r="E13" s="31">
        <v>5</v>
      </c>
    </row>
    <row r="14" spans="2:5" ht="72.75" customHeight="1" thickBot="1">
      <c r="B14" s="28" t="s">
        <v>198</v>
      </c>
      <c r="C14" s="29" t="s">
        <v>199</v>
      </c>
      <c r="D14" s="30" t="s">
        <v>200</v>
      </c>
      <c r="E14" s="31">
        <v>5</v>
      </c>
    </row>
    <row r="15" spans="2:5" ht="120.75" customHeight="1" thickBot="1">
      <c r="B15" s="28" t="s">
        <v>201</v>
      </c>
      <c r="C15" s="29" t="s">
        <v>202</v>
      </c>
      <c r="D15" s="30" t="s">
        <v>203</v>
      </c>
      <c r="E15" s="31">
        <v>5</v>
      </c>
    </row>
    <row r="16" spans="2:5" ht="120.75" customHeight="1" thickBot="1">
      <c r="B16" s="28" t="s">
        <v>204</v>
      </c>
      <c r="C16" s="29" t="s">
        <v>205</v>
      </c>
      <c r="D16" s="30" t="s">
        <v>206</v>
      </c>
      <c r="E16" s="31">
        <v>5</v>
      </c>
    </row>
    <row r="17" spans="2:5" ht="84.75" customHeight="1" thickBot="1">
      <c r="B17" s="28" t="s">
        <v>207</v>
      </c>
      <c r="C17" s="29" t="s">
        <v>208</v>
      </c>
      <c r="D17" s="30" t="s">
        <v>209</v>
      </c>
      <c r="E17" s="31">
        <v>4</v>
      </c>
    </row>
    <row r="18" spans="2:5" ht="156.75" customHeight="1" thickBot="1">
      <c r="B18" s="28" t="s">
        <v>210</v>
      </c>
      <c r="C18" s="29" t="s">
        <v>211</v>
      </c>
      <c r="D18" s="30" t="s">
        <v>212</v>
      </c>
      <c r="E18" s="31">
        <v>5</v>
      </c>
    </row>
    <row r="19" spans="2:5" ht="144.75" customHeight="1" thickBot="1">
      <c r="B19" s="28" t="s">
        <v>213</v>
      </c>
      <c r="C19" s="29" t="s">
        <v>214</v>
      </c>
      <c r="D19" s="30" t="s">
        <v>215</v>
      </c>
      <c r="E19" s="31">
        <v>4</v>
      </c>
    </row>
    <row r="20" spans="2:5" ht="96.75" customHeight="1" thickBot="1">
      <c r="B20" s="28" t="s">
        <v>216</v>
      </c>
      <c r="C20" s="29" t="s">
        <v>217</v>
      </c>
      <c r="D20" s="30" t="s">
        <v>218</v>
      </c>
      <c r="E20" s="31">
        <v>4</v>
      </c>
    </row>
    <row r="21" spans="2:5" ht="72.75" customHeight="1" thickBot="1">
      <c r="B21" s="28" t="s">
        <v>219</v>
      </c>
      <c r="C21" s="29" t="s">
        <v>220</v>
      </c>
      <c r="D21" s="30" t="s">
        <v>221</v>
      </c>
      <c r="E21" s="31">
        <v>5</v>
      </c>
    </row>
    <row r="22" spans="2:5" ht="108.75" customHeight="1" thickBot="1">
      <c r="B22" s="28" t="s">
        <v>222</v>
      </c>
      <c r="C22" s="29" t="s">
        <v>223</v>
      </c>
      <c r="D22" s="30" t="s">
        <v>224</v>
      </c>
      <c r="E22" s="31">
        <v>5</v>
      </c>
    </row>
    <row r="23" spans="2:5" ht="156.75" customHeight="1" thickBot="1">
      <c r="B23" s="28" t="s">
        <v>225</v>
      </c>
      <c r="C23" s="29" t="s">
        <v>226</v>
      </c>
      <c r="D23" s="30" t="s">
        <v>227</v>
      </c>
      <c r="E23" s="31">
        <v>5</v>
      </c>
    </row>
    <row r="24" spans="2:5" ht="156.75" customHeight="1" thickBot="1">
      <c r="B24" s="28" t="s">
        <v>228</v>
      </c>
      <c r="C24" s="29" t="s">
        <v>229</v>
      </c>
      <c r="D24" s="30" t="s">
        <v>230</v>
      </c>
      <c r="E24" s="31">
        <v>5</v>
      </c>
    </row>
    <row r="25" spans="2:5" ht="144.75" customHeight="1" thickBot="1">
      <c r="B25" s="28" t="s">
        <v>231</v>
      </c>
      <c r="C25" s="29" t="s">
        <v>232</v>
      </c>
      <c r="D25" s="30" t="s">
        <v>233</v>
      </c>
      <c r="E25" s="31">
        <v>5</v>
      </c>
    </row>
    <row r="26" spans="2:5" ht="84.75" customHeight="1" thickBot="1">
      <c r="B26" s="28" t="s">
        <v>234</v>
      </c>
      <c r="C26" s="29" t="s">
        <v>13</v>
      </c>
      <c r="D26" s="30" t="s">
        <v>235</v>
      </c>
      <c r="E26" s="31">
        <v>5</v>
      </c>
    </row>
    <row r="27" spans="2:5" ht="84.75" customHeight="1" thickBot="1">
      <c r="B27" s="28" t="s">
        <v>236</v>
      </c>
      <c r="C27" s="29" t="s">
        <v>237</v>
      </c>
      <c r="D27" s="30" t="s">
        <v>238</v>
      </c>
      <c r="E27" s="31">
        <v>5</v>
      </c>
    </row>
    <row r="28" spans="2:5" ht="72.75" customHeight="1" thickBot="1">
      <c r="B28" s="28" t="s">
        <v>239</v>
      </c>
      <c r="C28" s="29" t="s">
        <v>38</v>
      </c>
      <c r="D28" s="30" t="s">
        <v>240</v>
      </c>
      <c r="E28" s="31">
        <v>5</v>
      </c>
    </row>
    <row r="29" spans="2:5" ht="132.75" customHeight="1" thickBot="1">
      <c r="B29" s="28" t="s">
        <v>241</v>
      </c>
      <c r="C29" s="29" t="s">
        <v>242</v>
      </c>
      <c r="D29" s="30" t="s">
        <v>243</v>
      </c>
      <c r="E29" s="31">
        <v>5</v>
      </c>
    </row>
    <row r="30" spans="2:5" ht="144.75" customHeight="1" thickBot="1">
      <c r="B30" s="28" t="s">
        <v>244</v>
      </c>
      <c r="C30" s="29" t="s">
        <v>245</v>
      </c>
      <c r="D30" s="30" t="s">
        <v>246</v>
      </c>
      <c r="E30" s="31">
        <v>4</v>
      </c>
    </row>
    <row r="31" spans="2:5" ht="144.75" customHeight="1" thickBot="1">
      <c r="B31" s="28" t="s">
        <v>247</v>
      </c>
      <c r="C31" s="29" t="s">
        <v>248</v>
      </c>
      <c r="D31" s="30" t="s">
        <v>249</v>
      </c>
      <c r="E31" s="31">
        <v>5</v>
      </c>
    </row>
    <row r="32" spans="2:5" ht="120.75" customHeight="1" thickBot="1">
      <c r="B32" s="28" t="s">
        <v>250</v>
      </c>
      <c r="C32" s="29" t="s">
        <v>251</v>
      </c>
      <c r="D32" s="30" t="s">
        <v>252</v>
      </c>
      <c r="E32" s="31">
        <v>5</v>
      </c>
    </row>
    <row r="33" spans="2:5" ht="144.75" customHeight="1" thickBot="1">
      <c r="B33" s="28" t="s">
        <v>253</v>
      </c>
      <c r="C33" s="29" t="s">
        <v>254</v>
      </c>
      <c r="D33" s="30" t="s">
        <v>255</v>
      </c>
      <c r="E33" s="31">
        <v>4</v>
      </c>
    </row>
    <row r="34" spans="2:5" ht="108.75" customHeight="1" thickBot="1">
      <c r="B34" s="28" t="s">
        <v>256</v>
      </c>
      <c r="C34" s="29" t="s">
        <v>257</v>
      </c>
      <c r="D34" s="30" t="s">
        <v>258</v>
      </c>
      <c r="E34" s="31">
        <v>5</v>
      </c>
    </row>
    <row r="35" spans="2:5" ht="204.75" customHeight="1" thickBot="1">
      <c r="B35" s="28" t="s">
        <v>259</v>
      </c>
      <c r="C35" s="29" t="s">
        <v>260</v>
      </c>
      <c r="D35" s="30" t="s">
        <v>261</v>
      </c>
      <c r="E35" s="31">
        <v>5</v>
      </c>
    </row>
    <row r="36" spans="2:5" ht="168.75" customHeight="1" thickBot="1">
      <c r="B36" s="28" t="s">
        <v>262</v>
      </c>
      <c r="C36" s="29" t="s">
        <v>263</v>
      </c>
      <c r="D36" s="30" t="s">
        <v>264</v>
      </c>
      <c r="E36" s="31">
        <v>5</v>
      </c>
    </row>
    <row r="37" spans="2:5" ht="96.75" customHeight="1" thickBot="1">
      <c r="B37" s="28" t="s">
        <v>265</v>
      </c>
      <c r="C37" s="29" t="s">
        <v>266</v>
      </c>
      <c r="D37" s="30" t="s">
        <v>267</v>
      </c>
      <c r="E37" s="31">
        <v>4</v>
      </c>
    </row>
    <row r="38" spans="2:5" ht="180.75" customHeight="1" thickBot="1">
      <c r="B38" s="28" t="s">
        <v>268</v>
      </c>
      <c r="C38" s="29" t="s">
        <v>269</v>
      </c>
      <c r="D38" s="30" t="s">
        <v>270</v>
      </c>
      <c r="E38" s="31">
        <v>4</v>
      </c>
    </row>
    <row r="39" spans="2:5" ht="156.75" customHeight="1" thickBot="1">
      <c r="B39" s="28" t="s">
        <v>271</v>
      </c>
      <c r="C39" s="29" t="s">
        <v>272</v>
      </c>
      <c r="D39" s="30" t="s">
        <v>273</v>
      </c>
      <c r="E39" s="31">
        <v>3</v>
      </c>
    </row>
    <row r="40" spans="2:5" ht="108.75" customHeight="1" thickBot="1">
      <c r="B40" s="28" t="s">
        <v>274</v>
      </c>
      <c r="C40" s="29" t="s">
        <v>275</v>
      </c>
      <c r="D40" s="30" t="s">
        <v>276</v>
      </c>
      <c r="E40" s="31">
        <v>4</v>
      </c>
    </row>
    <row r="41" spans="2:5" ht="60.75" customHeight="1" thickBot="1">
      <c r="B41" s="28" t="s">
        <v>277</v>
      </c>
      <c r="C41" s="29" t="s">
        <v>278</v>
      </c>
      <c r="D41" s="30" t="s">
        <v>279</v>
      </c>
      <c r="E41" s="31">
        <v>1</v>
      </c>
    </row>
    <row r="42" spans="2:5" ht="60.75" customHeight="1" thickBot="1">
      <c r="B42" s="28" t="s">
        <v>280</v>
      </c>
      <c r="C42" s="29" t="s">
        <v>281</v>
      </c>
      <c r="D42" s="30" t="s">
        <v>282</v>
      </c>
      <c r="E42" s="31">
        <v>4</v>
      </c>
    </row>
    <row r="43" spans="2:5" ht="48.75" customHeight="1" thickBot="1">
      <c r="B43" s="28" t="s">
        <v>283</v>
      </c>
      <c r="C43" s="29" t="s">
        <v>284</v>
      </c>
      <c r="D43" s="30" t="s">
        <v>285</v>
      </c>
      <c r="E43" s="31">
        <v>4</v>
      </c>
    </row>
    <row r="44" spans="2:5" ht="108.75" customHeight="1" thickBot="1">
      <c r="B44" s="28" t="s">
        <v>286</v>
      </c>
      <c r="C44" s="29" t="s">
        <v>287</v>
      </c>
      <c r="D44" s="30" t="s">
        <v>288</v>
      </c>
      <c r="E44" s="31">
        <v>4</v>
      </c>
    </row>
    <row r="45" spans="2:5" ht="228.75" customHeight="1" thickBot="1">
      <c r="B45" s="28" t="s">
        <v>289</v>
      </c>
      <c r="C45" s="29" t="s">
        <v>290</v>
      </c>
      <c r="D45" s="30" t="s">
        <v>291</v>
      </c>
      <c r="E45" s="31">
        <v>4</v>
      </c>
    </row>
    <row r="46" spans="2:5" ht="132.75" customHeight="1" thickBot="1">
      <c r="B46" s="28" t="s">
        <v>292</v>
      </c>
      <c r="C46" s="29" t="s">
        <v>293</v>
      </c>
      <c r="D46" s="30" t="s">
        <v>294</v>
      </c>
      <c r="E46" s="31">
        <v>3</v>
      </c>
    </row>
    <row r="47" spans="2:5" ht="48.75" customHeight="1" thickBot="1">
      <c r="B47" s="28" t="s">
        <v>295</v>
      </c>
      <c r="C47" s="29" t="s">
        <v>296</v>
      </c>
      <c r="D47" s="30" t="s">
        <v>297</v>
      </c>
      <c r="E47" s="31">
        <v>5</v>
      </c>
    </row>
    <row r="48" spans="2:5" ht="108.75" customHeight="1" thickBot="1">
      <c r="B48" s="28" t="s">
        <v>298</v>
      </c>
      <c r="C48" s="29" t="s">
        <v>299</v>
      </c>
      <c r="D48" s="30" t="s">
        <v>300</v>
      </c>
      <c r="E48" s="31">
        <v>5</v>
      </c>
    </row>
    <row r="49" spans="2:5" ht="96.75" customHeight="1" thickBot="1">
      <c r="B49" s="28" t="s">
        <v>301</v>
      </c>
      <c r="C49" s="29" t="s">
        <v>302</v>
      </c>
      <c r="D49" s="30" t="s">
        <v>303</v>
      </c>
      <c r="E49" s="31">
        <v>5</v>
      </c>
    </row>
    <row r="50" spans="2:5" ht="156.75" customHeight="1" thickBot="1">
      <c r="B50" s="28" t="s">
        <v>304</v>
      </c>
      <c r="C50" s="29" t="s">
        <v>305</v>
      </c>
      <c r="D50" s="30" t="s">
        <v>306</v>
      </c>
      <c r="E50" s="31">
        <v>5</v>
      </c>
    </row>
    <row r="51" spans="2:5" ht="84.75" customHeight="1" thickBot="1">
      <c r="B51" s="28" t="s">
        <v>307</v>
      </c>
      <c r="C51" s="29" t="s">
        <v>308</v>
      </c>
      <c r="D51" s="30" t="s">
        <v>309</v>
      </c>
      <c r="E51" s="31">
        <v>5</v>
      </c>
    </row>
    <row r="52" spans="2:5" ht="156.75" customHeight="1" thickBot="1">
      <c r="B52" s="28" t="s">
        <v>310</v>
      </c>
      <c r="C52" s="29" t="s">
        <v>311</v>
      </c>
      <c r="D52" s="30" t="s">
        <v>312</v>
      </c>
      <c r="E52" s="31">
        <v>5</v>
      </c>
    </row>
    <row r="53" spans="2:5" ht="96.75" customHeight="1" thickBot="1">
      <c r="B53" s="28" t="s">
        <v>313</v>
      </c>
      <c r="C53" s="29" t="s">
        <v>157</v>
      </c>
      <c r="D53" s="30" t="s">
        <v>314</v>
      </c>
      <c r="E53" s="31">
        <v>3</v>
      </c>
    </row>
    <row r="54" spans="2:5" ht="60.75" customHeight="1" thickBot="1">
      <c r="B54" s="28" t="s">
        <v>315</v>
      </c>
      <c r="C54" s="29" t="s">
        <v>316</v>
      </c>
      <c r="D54" s="30" t="s">
        <v>317</v>
      </c>
      <c r="E54" s="31">
        <v>4</v>
      </c>
    </row>
    <row r="55" spans="2:5" ht="84.75" customHeight="1" thickBot="1">
      <c r="B55" s="28" t="s">
        <v>318</v>
      </c>
      <c r="C55" s="29" t="s">
        <v>319</v>
      </c>
      <c r="D55" s="30" t="s">
        <v>320</v>
      </c>
      <c r="E55" s="31">
        <v>5</v>
      </c>
    </row>
    <row r="56" spans="2:5" ht="72.75" customHeight="1" thickBot="1">
      <c r="B56" s="28" t="s">
        <v>321</v>
      </c>
      <c r="C56" s="29" t="s">
        <v>322</v>
      </c>
      <c r="D56" s="30" t="s">
        <v>323</v>
      </c>
      <c r="E56" s="31">
        <v>5</v>
      </c>
    </row>
    <row r="57" spans="2:5" ht="72.75" customHeight="1" thickBot="1">
      <c r="B57" s="28" t="s">
        <v>324</v>
      </c>
      <c r="C57" s="29" t="s">
        <v>325</v>
      </c>
      <c r="D57" s="30" t="s">
        <v>326</v>
      </c>
      <c r="E57" s="31">
        <v>5</v>
      </c>
    </row>
    <row r="58" spans="2:5" ht="48.75" customHeight="1" thickBot="1">
      <c r="B58" s="28" t="s">
        <v>327</v>
      </c>
      <c r="C58" s="29" t="s">
        <v>328</v>
      </c>
      <c r="D58" s="30" t="s">
        <v>329</v>
      </c>
      <c r="E58" s="31">
        <v>5</v>
      </c>
    </row>
    <row r="59" spans="2:5" ht="84.75" customHeight="1" thickBot="1">
      <c r="B59" s="28" t="s">
        <v>330</v>
      </c>
      <c r="C59" s="29" t="s">
        <v>142</v>
      </c>
      <c r="D59" s="30" t="s">
        <v>331</v>
      </c>
      <c r="E59" s="31">
        <v>5</v>
      </c>
    </row>
    <row r="60" spans="2:5" ht="48.75" customHeight="1" thickBot="1">
      <c r="B60" s="28" t="s">
        <v>332</v>
      </c>
      <c r="C60" s="29" t="s">
        <v>333</v>
      </c>
      <c r="D60" s="30" t="s">
        <v>334</v>
      </c>
      <c r="E60" s="31">
        <v>5</v>
      </c>
    </row>
    <row r="61" spans="2:5" ht="108.75" customHeight="1" thickBot="1">
      <c r="B61" s="28" t="s">
        <v>335</v>
      </c>
      <c r="C61" s="29" t="s">
        <v>19</v>
      </c>
      <c r="D61" s="30" t="s">
        <v>336</v>
      </c>
      <c r="E61" s="31">
        <v>3</v>
      </c>
    </row>
    <row r="62" spans="2:5" ht="72.75" customHeight="1" thickBot="1">
      <c r="B62" s="28" t="s">
        <v>337</v>
      </c>
      <c r="C62" s="29" t="s">
        <v>338</v>
      </c>
      <c r="D62" s="30" t="s">
        <v>339</v>
      </c>
      <c r="E62" s="31">
        <v>5</v>
      </c>
    </row>
    <row r="63" spans="2:5" ht="60.75" customHeight="1" thickBot="1">
      <c r="B63" s="28" t="s">
        <v>340</v>
      </c>
      <c r="C63" s="29" t="s">
        <v>341</v>
      </c>
      <c r="D63" s="30" t="s">
        <v>342</v>
      </c>
      <c r="E63" s="31">
        <v>4</v>
      </c>
    </row>
    <row r="64" spans="2:5" ht="120.75" customHeight="1" thickBot="1">
      <c r="B64" s="28" t="s">
        <v>343</v>
      </c>
      <c r="C64" s="29" t="s">
        <v>15</v>
      </c>
      <c r="D64" s="30" t="s">
        <v>344</v>
      </c>
      <c r="E64" s="31">
        <v>3</v>
      </c>
    </row>
    <row r="65" spans="2:5" ht="180.75" customHeight="1" thickBot="1">
      <c r="B65" s="28" t="s">
        <v>345</v>
      </c>
      <c r="C65" s="29" t="s">
        <v>11</v>
      </c>
      <c r="D65" s="30" t="s">
        <v>346</v>
      </c>
      <c r="E65" s="31">
        <v>3</v>
      </c>
    </row>
    <row r="66" spans="2:5" ht="120.75" customHeight="1" thickBot="1">
      <c r="B66" s="28" t="s">
        <v>347</v>
      </c>
      <c r="C66" s="29" t="s">
        <v>16</v>
      </c>
      <c r="D66" s="30" t="s">
        <v>348</v>
      </c>
      <c r="E66" s="31">
        <v>3</v>
      </c>
    </row>
    <row r="67" spans="2:5" ht="120.75" customHeight="1" thickBot="1">
      <c r="B67" s="28" t="s">
        <v>349</v>
      </c>
      <c r="C67" s="29" t="s">
        <v>7</v>
      </c>
      <c r="D67" s="30" t="s">
        <v>350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0"/>
  <sheetViews>
    <sheetView workbookViewId="0">
      <selection activeCell="F13" sqref="F13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24</v>
      </c>
      <c r="C2" s="4" t="s">
        <v>25</v>
      </c>
      <c r="D2" s="4" t="s">
        <v>26</v>
      </c>
      <c r="E2" s="4" t="s">
        <v>27</v>
      </c>
      <c r="F2" s="4" t="s">
        <v>376</v>
      </c>
    </row>
    <row r="3" spans="2:9">
      <c r="B3" s="5" t="s">
        <v>28</v>
      </c>
      <c r="C3" s="5" t="s">
        <v>29</v>
      </c>
      <c r="D3" s="5" t="s">
        <v>30</v>
      </c>
      <c r="E3" s="5" t="s">
        <v>12</v>
      </c>
      <c r="F3" s="43"/>
      <c r="I3" s="9" t="s">
        <v>159</v>
      </c>
    </row>
    <row r="4" spans="2:9">
      <c r="B4" s="5" t="s">
        <v>31</v>
      </c>
      <c r="C4" s="5" t="s">
        <v>32</v>
      </c>
      <c r="D4" s="5" t="s">
        <v>33</v>
      </c>
      <c r="E4" s="5" t="s">
        <v>12</v>
      </c>
      <c r="F4" s="43"/>
      <c r="I4" s="9" t="s">
        <v>151</v>
      </c>
    </row>
    <row r="5" spans="2:9">
      <c r="B5" s="5" t="s">
        <v>34</v>
      </c>
      <c r="C5" s="5" t="s">
        <v>35</v>
      </c>
      <c r="D5" s="5" t="s">
        <v>36</v>
      </c>
      <c r="E5" s="5" t="s">
        <v>12</v>
      </c>
      <c r="F5" s="43"/>
    </row>
    <row r="6" spans="2:9">
      <c r="B6" s="5" t="s">
        <v>37</v>
      </c>
      <c r="C6" s="5" t="s">
        <v>38</v>
      </c>
      <c r="D6" s="5" t="s">
        <v>39</v>
      </c>
      <c r="E6" s="5" t="s">
        <v>12</v>
      </c>
      <c r="F6" s="43"/>
    </row>
    <row r="7" spans="2:9" ht="36">
      <c r="B7" s="5" t="s">
        <v>40</v>
      </c>
      <c r="C7" s="5" t="s">
        <v>41</v>
      </c>
      <c r="D7" s="5" t="s">
        <v>42</v>
      </c>
      <c r="E7" s="5" t="s">
        <v>12</v>
      </c>
      <c r="F7" s="44" t="s">
        <v>377</v>
      </c>
    </row>
    <row r="8" spans="2:9">
      <c r="B8" s="5" t="s">
        <v>43</v>
      </c>
      <c r="C8" s="5" t="s">
        <v>44</v>
      </c>
      <c r="D8" s="5" t="s">
        <v>45</v>
      </c>
      <c r="E8" s="5" t="s">
        <v>12</v>
      </c>
      <c r="F8" s="43"/>
    </row>
    <row r="9" spans="2:9">
      <c r="B9" s="5" t="s">
        <v>46</v>
      </c>
      <c r="C9" s="5" t="s">
        <v>47</v>
      </c>
      <c r="D9" s="5" t="s">
        <v>48</v>
      </c>
      <c r="E9" s="5" t="s">
        <v>12</v>
      </c>
      <c r="F9" s="43"/>
    </row>
    <row r="10" spans="2:9" ht="24">
      <c r="B10" s="5" t="s">
        <v>49</v>
      </c>
      <c r="C10" s="5" t="s">
        <v>50</v>
      </c>
      <c r="D10" s="5" t="s">
        <v>51</v>
      </c>
      <c r="E10" s="5" t="s">
        <v>8</v>
      </c>
      <c r="F10" s="44" t="s">
        <v>378</v>
      </c>
    </row>
    <row r="11" spans="2:9">
      <c r="B11" s="5" t="s">
        <v>52</v>
      </c>
      <c r="C11" s="5" t="s">
        <v>53</v>
      </c>
      <c r="D11" s="5" t="s">
        <v>54</v>
      </c>
      <c r="E11" s="5" t="s">
        <v>8</v>
      </c>
      <c r="F11" s="43"/>
    </row>
    <row r="12" spans="2:9">
      <c r="B12" s="5" t="s">
        <v>55</v>
      </c>
      <c r="C12" s="5" t="s">
        <v>56</v>
      </c>
      <c r="D12" s="5" t="s">
        <v>57</v>
      </c>
      <c r="E12" s="5" t="s">
        <v>10</v>
      </c>
      <c r="F12" s="43" t="s">
        <v>379</v>
      </c>
    </row>
    <row r="13" spans="2:9" ht="36">
      <c r="B13" s="5" t="s">
        <v>20</v>
      </c>
      <c r="C13" s="5" t="s">
        <v>21</v>
      </c>
      <c r="D13" s="5" t="s">
        <v>58</v>
      </c>
      <c r="E13" s="5" t="s">
        <v>10</v>
      </c>
      <c r="F13" s="44" t="s">
        <v>380</v>
      </c>
    </row>
    <row r="14" spans="2:9">
      <c r="B14" s="5" t="s">
        <v>59</v>
      </c>
      <c r="C14" s="5" t="s">
        <v>60</v>
      </c>
      <c r="D14" s="5" t="s">
        <v>61</v>
      </c>
      <c r="E14" s="5" t="s">
        <v>10</v>
      </c>
      <c r="F14" s="43" t="s">
        <v>381</v>
      </c>
    </row>
    <row r="15" spans="2:9">
      <c r="B15" s="5" t="s">
        <v>62</v>
      </c>
      <c r="C15" s="5" t="s">
        <v>9</v>
      </c>
      <c r="D15" s="5" t="s">
        <v>63</v>
      </c>
      <c r="E15" s="5" t="s">
        <v>10</v>
      </c>
      <c r="F15" s="43"/>
    </row>
    <row r="16" spans="2:9">
      <c r="B16" s="5" t="s">
        <v>64</v>
      </c>
      <c r="C16" s="5" t="s">
        <v>65</v>
      </c>
      <c r="D16" s="5" t="s">
        <v>66</v>
      </c>
      <c r="E16" s="5" t="s">
        <v>8</v>
      </c>
      <c r="F16" s="43"/>
    </row>
    <row r="17" spans="2:6">
      <c r="B17" s="5" t="s">
        <v>67</v>
      </c>
      <c r="C17" s="5" t="s">
        <v>68</v>
      </c>
      <c r="D17" s="5" t="s">
        <v>69</v>
      </c>
      <c r="E17" s="5" t="s">
        <v>10</v>
      </c>
      <c r="F17" s="43"/>
    </row>
    <row r="18" spans="2:6">
      <c r="B18" s="5" t="s">
        <v>70</v>
      </c>
      <c r="C18" s="5" t="s">
        <v>71</v>
      </c>
      <c r="D18" s="5" t="s">
        <v>72</v>
      </c>
      <c r="E18" s="5" t="s">
        <v>10</v>
      </c>
      <c r="F18" s="43" t="s">
        <v>382</v>
      </c>
    </row>
    <row r="19" spans="2:6">
      <c r="B19" s="5" t="s">
        <v>73</v>
      </c>
      <c r="C19" s="5" t="s">
        <v>14</v>
      </c>
      <c r="D19" s="5" t="s">
        <v>74</v>
      </c>
      <c r="E19" s="5" t="s">
        <v>10</v>
      </c>
      <c r="F19" s="43"/>
    </row>
    <row r="20" spans="2:6">
      <c r="B20" s="5" t="s">
        <v>75</v>
      </c>
      <c r="C20" s="5" t="s">
        <v>76</v>
      </c>
      <c r="D20" s="5" t="s">
        <v>77</v>
      </c>
      <c r="E20" s="5" t="s">
        <v>8</v>
      </c>
      <c r="F20" s="43" t="s">
        <v>383</v>
      </c>
    </row>
    <row r="21" spans="2:6">
      <c r="B21" s="5" t="s">
        <v>78</v>
      </c>
      <c r="C21" s="5" t="s">
        <v>79</v>
      </c>
      <c r="D21" s="5" t="s">
        <v>80</v>
      </c>
      <c r="E21" s="5" t="s">
        <v>8</v>
      </c>
      <c r="F21" s="43" t="s">
        <v>384</v>
      </c>
    </row>
    <row r="22" spans="2:6">
      <c r="B22" s="5" t="s">
        <v>81</v>
      </c>
      <c r="C22" s="5" t="s">
        <v>82</v>
      </c>
      <c r="D22" s="5" t="s">
        <v>83</v>
      </c>
      <c r="E22" s="5" t="s">
        <v>10</v>
      </c>
      <c r="F22" s="43"/>
    </row>
    <row r="23" spans="2:6">
      <c r="B23" s="5" t="s">
        <v>84</v>
      </c>
      <c r="C23" s="5" t="s">
        <v>85</v>
      </c>
      <c r="D23" s="5" t="s">
        <v>86</v>
      </c>
      <c r="E23" s="5" t="s">
        <v>12</v>
      </c>
      <c r="F23" s="43" t="s">
        <v>385</v>
      </c>
    </row>
    <row r="24" spans="2:6">
      <c r="B24" s="5" t="s">
        <v>87</v>
      </c>
      <c r="C24" s="5" t="s">
        <v>13</v>
      </c>
      <c r="D24" s="5" t="s">
        <v>88</v>
      </c>
      <c r="E24" s="5" t="s">
        <v>12</v>
      </c>
      <c r="F24" s="43" t="s">
        <v>386</v>
      </c>
    </row>
    <row r="25" spans="2:6">
      <c r="B25" s="5" t="s">
        <v>89</v>
      </c>
      <c r="C25" s="5" t="s">
        <v>90</v>
      </c>
      <c r="D25" s="5" t="s">
        <v>91</v>
      </c>
      <c r="E25" s="5" t="s">
        <v>8</v>
      </c>
      <c r="F25" s="43" t="s">
        <v>387</v>
      </c>
    </row>
    <row r="26" spans="2:6">
      <c r="B26" s="5" t="s">
        <v>92</v>
      </c>
      <c r="C26" s="5" t="s">
        <v>93</v>
      </c>
      <c r="D26" s="5" t="s">
        <v>94</v>
      </c>
      <c r="E26" s="5" t="s">
        <v>12</v>
      </c>
      <c r="F26" s="43"/>
    </row>
    <row r="27" spans="2:6">
      <c r="B27" s="5" t="s">
        <v>95</v>
      </c>
      <c r="C27" s="5" t="s">
        <v>96</v>
      </c>
      <c r="D27" s="5" t="s">
        <v>97</v>
      </c>
      <c r="E27" s="5" t="s">
        <v>8</v>
      </c>
      <c r="F27" s="43" t="s">
        <v>388</v>
      </c>
    </row>
    <row r="28" spans="2:6">
      <c r="B28" s="5" t="s">
        <v>98</v>
      </c>
      <c r="C28" s="5" t="s">
        <v>99</v>
      </c>
      <c r="D28" s="5" t="s">
        <v>100</v>
      </c>
      <c r="E28" s="5" t="s">
        <v>10</v>
      </c>
      <c r="F28" s="43" t="s">
        <v>389</v>
      </c>
    </row>
    <row r="29" spans="2:6">
      <c r="B29" s="5" t="s">
        <v>101</v>
      </c>
      <c r="C29" s="5" t="s">
        <v>102</v>
      </c>
      <c r="D29" s="5" t="s">
        <v>103</v>
      </c>
      <c r="E29" s="5" t="s">
        <v>10</v>
      </c>
      <c r="F29" s="43"/>
    </row>
    <row r="30" spans="2:6">
      <c r="B30" s="5" t="s">
        <v>104</v>
      </c>
      <c r="C30" s="6" t="s">
        <v>15</v>
      </c>
      <c r="D30" s="5" t="s">
        <v>105</v>
      </c>
      <c r="E30" s="5" t="s">
        <v>8</v>
      </c>
      <c r="F30" s="43" t="s">
        <v>390</v>
      </c>
    </row>
    <row r="31" spans="2:6">
      <c r="B31" s="5" t="s">
        <v>106</v>
      </c>
      <c r="C31" s="6" t="s">
        <v>11</v>
      </c>
      <c r="D31" s="5" t="s">
        <v>107</v>
      </c>
      <c r="E31" s="5" t="s">
        <v>8</v>
      </c>
      <c r="F31" s="43" t="s">
        <v>391</v>
      </c>
    </row>
    <row r="32" spans="2:6">
      <c r="B32" s="5" t="s">
        <v>108</v>
      </c>
      <c r="C32" s="6" t="s">
        <v>16</v>
      </c>
      <c r="D32" s="5" t="s">
        <v>109</v>
      </c>
      <c r="E32" s="5" t="s">
        <v>8</v>
      </c>
      <c r="F32" s="43"/>
    </row>
    <row r="33" spans="2:6">
      <c r="B33" s="5" t="s">
        <v>110</v>
      </c>
      <c r="C33" s="6" t="s">
        <v>7</v>
      </c>
      <c r="D33" s="5" t="s">
        <v>111</v>
      </c>
      <c r="E33" s="5" t="s">
        <v>8</v>
      </c>
      <c r="F33" s="43" t="s">
        <v>392</v>
      </c>
    </row>
    <row r="34" spans="2:6">
      <c r="B34" s="5" t="s">
        <v>112</v>
      </c>
      <c r="C34" s="5" t="s">
        <v>113</v>
      </c>
      <c r="D34" s="7" t="s">
        <v>114</v>
      </c>
      <c r="E34" s="5" t="s">
        <v>8</v>
      </c>
      <c r="F34" s="45" t="s">
        <v>393</v>
      </c>
    </row>
    <row r="35" spans="2:6">
      <c r="B35" s="5" t="s">
        <v>115</v>
      </c>
      <c r="C35" s="5" t="s">
        <v>116</v>
      </c>
      <c r="D35" s="5" t="s">
        <v>117</v>
      </c>
      <c r="E35" s="5" t="s">
        <v>8</v>
      </c>
      <c r="F35" s="43" t="s">
        <v>394</v>
      </c>
    </row>
    <row r="36" spans="2:6" ht="36">
      <c r="B36" s="5" t="s">
        <v>153</v>
      </c>
      <c r="C36" s="5" t="s">
        <v>160</v>
      </c>
      <c r="D36" s="5" t="s">
        <v>154</v>
      </c>
      <c r="E36" s="5" t="s">
        <v>155</v>
      </c>
      <c r="F36" s="44" t="s">
        <v>395</v>
      </c>
    </row>
    <row r="37" spans="2:6">
      <c r="B37" s="5" t="s">
        <v>156</v>
      </c>
      <c r="C37" s="39" t="s">
        <v>157</v>
      </c>
      <c r="D37" s="5" t="s">
        <v>161</v>
      </c>
      <c r="E37" s="5" t="s">
        <v>158</v>
      </c>
      <c r="F37" s="43" t="s">
        <v>396</v>
      </c>
    </row>
    <row r="38" spans="2:6">
      <c r="B38" s="5" t="s">
        <v>370</v>
      </c>
      <c r="C38" s="39" t="s">
        <v>371</v>
      </c>
      <c r="D38" s="5" t="s">
        <v>372</v>
      </c>
      <c r="E38" s="5" t="s">
        <v>158</v>
      </c>
      <c r="F38" s="43"/>
    </row>
    <row r="39" spans="2:6">
      <c r="B39" s="5" t="s">
        <v>374</v>
      </c>
      <c r="C39" s="39" t="s">
        <v>375</v>
      </c>
      <c r="D39" s="5"/>
      <c r="E39" s="5" t="s">
        <v>155</v>
      </c>
      <c r="F39" s="43" t="s">
        <v>397</v>
      </c>
    </row>
    <row r="40" spans="2:6">
      <c r="B40" s="5" t="s">
        <v>162</v>
      </c>
      <c r="C40" s="5" t="s">
        <v>118</v>
      </c>
      <c r="D40" s="5" t="s">
        <v>119</v>
      </c>
      <c r="E40" s="5" t="s">
        <v>10</v>
      </c>
      <c r="F40" s="43" t="s">
        <v>398</v>
      </c>
    </row>
    <row r="41" spans="2:6">
      <c r="B41" s="5" t="s">
        <v>120</v>
      </c>
      <c r="C41" s="5" t="s">
        <v>121</v>
      </c>
      <c r="D41" s="5" t="s">
        <v>122</v>
      </c>
      <c r="E41" s="5" t="s">
        <v>18</v>
      </c>
      <c r="F41" s="43" t="s">
        <v>399</v>
      </c>
    </row>
    <row r="42" spans="2:6">
      <c r="B42" s="5" t="s">
        <v>123</v>
      </c>
      <c r="C42" s="5" t="s">
        <v>124</v>
      </c>
      <c r="D42" s="5" t="s">
        <v>125</v>
      </c>
      <c r="E42" s="5" t="s">
        <v>8</v>
      </c>
      <c r="F42" s="43" t="s">
        <v>400</v>
      </c>
    </row>
    <row r="43" spans="2:6">
      <c r="B43" s="5" t="s">
        <v>126</v>
      </c>
      <c r="C43" s="5" t="s">
        <v>127</v>
      </c>
      <c r="D43" s="5" t="s">
        <v>128</v>
      </c>
      <c r="E43" s="5" t="s">
        <v>8</v>
      </c>
      <c r="F43" s="43" t="s">
        <v>401</v>
      </c>
    </row>
    <row r="44" spans="2:6">
      <c r="B44" s="5" t="s">
        <v>129</v>
      </c>
      <c r="C44" s="5" t="s">
        <v>130</v>
      </c>
      <c r="D44" s="5" t="s">
        <v>131</v>
      </c>
      <c r="E44" s="5" t="s">
        <v>10</v>
      </c>
      <c r="F44" s="43" t="s">
        <v>402</v>
      </c>
    </row>
    <row r="45" spans="2:6">
      <c r="B45" s="5" t="s">
        <v>132</v>
      </c>
      <c r="C45" s="5" t="s">
        <v>133</v>
      </c>
      <c r="D45" s="5" t="s">
        <v>134</v>
      </c>
      <c r="E45" s="5" t="s">
        <v>18</v>
      </c>
      <c r="F45" s="43" t="s">
        <v>403</v>
      </c>
    </row>
    <row r="46" spans="2:6">
      <c r="B46" s="5" t="s">
        <v>135</v>
      </c>
      <c r="C46" s="5" t="s">
        <v>136</v>
      </c>
      <c r="D46" s="5" t="s">
        <v>137</v>
      </c>
      <c r="E46" s="5" t="s">
        <v>12</v>
      </c>
      <c r="F46" s="43" t="s">
        <v>404</v>
      </c>
    </row>
    <row r="47" spans="2:6">
      <c r="B47" s="5" t="s">
        <v>138</v>
      </c>
      <c r="C47" s="5" t="s">
        <v>139</v>
      </c>
      <c r="D47" s="5" t="s">
        <v>140</v>
      </c>
      <c r="E47" s="5" t="s">
        <v>8</v>
      </c>
      <c r="F47" s="43" t="s">
        <v>405</v>
      </c>
    </row>
    <row r="48" spans="2:6">
      <c r="B48" s="5" t="s">
        <v>141</v>
      </c>
      <c r="C48" s="5" t="s">
        <v>142</v>
      </c>
      <c r="D48" s="5" t="s">
        <v>143</v>
      </c>
      <c r="E48" s="5" t="s">
        <v>10</v>
      </c>
      <c r="F48" s="43" t="s">
        <v>406</v>
      </c>
    </row>
    <row r="49" spans="2:6">
      <c r="B49" s="5" t="s">
        <v>144</v>
      </c>
      <c r="C49" s="5" t="s">
        <v>145</v>
      </c>
      <c r="D49" s="5" t="s">
        <v>146</v>
      </c>
      <c r="E49" s="5" t="s">
        <v>8</v>
      </c>
      <c r="F49" s="43" t="s">
        <v>407</v>
      </c>
    </row>
    <row r="50" spans="2:6">
      <c r="B50" s="5" t="s">
        <v>147</v>
      </c>
      <c r="C50" s="5" t="s">
        <v>19</v>
      </c>
      <c r="D50" s="5" t="s">
        <v>148</v>
      </c>
      <c r="E50" s="5" t="s">
        <v>8</v>
      </c>
      <c r="F50" s="43" t="s">
        <v>408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2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01. 대상정보</vt:lpstr>
      <vt:lpstr>02. 취약점 상세</vt:lpstr>
      <vt:lpstr>Sheet2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박준태/B2B영업팀/212458</dc:creator>
  <cp:lastModifiedBy>kang james</cp:lastModifiedBy>
  <cp:lastPrinted>2020-04-20T07:45:33Z</cp:lastPrinted>
  <dcterms:created xsi:type="dcterms:W3CDTF">2011-10-23T23:52:17Z</dcterms:created>
  <dcterms:modified xsi:type="dcterms:W3CDTF">2025-06-20T04:03:41Z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